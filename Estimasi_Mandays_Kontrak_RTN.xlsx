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incian Task" sheetId="2" state="visible" r:id="rId4"/>
    <sheet name="Rekap per Role" sheetId="3" state="visible" r:id="rId5"/>
    <sheet name="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<sst xmlns="http://schemas.openxmlformats.org/spreadsheetml/2006/main" count="217" uniqueCount="120">
  <si>
    <t xml:space="preserve">Estimasi Mandays Pengembangan</t>
  </si>
  <si>
    <t xml:space="preserve">Modul Kontrak (Spesifik/Payung), Release Order, Penawaran, Customer PO, Site/Presensi GPS, Tanda Tangan Digital</t>
  </si>
  <si>
    <t xml:space="preserve">PT RTN -- Sistem Project Management | Estimasi bila dikerjakan tim developer tanpa bantuan AI</t>
  </si>
  <si>
    <t xml:space="preserve">RINGKASAN ANGKA</t>
  </si>
  <si>
    <t xml:space="preserve">Total Estimasi Mandays (seluruh tim)</t>
  </si>
  <si>
    <t xml:space="preserve">md</t>
  </si>
  <si>
    <t xml:space="preserve">Jumlah Task/Deliverable Teridentifikasi</t>
  </si>
  <si>
    <t xml:space="preserve">task</t>
  </si>
  <si>
    <t xml:space="preserve">Estimasi Durasi Kalender (tim inti 6 orang, ada overlap antar fase)</t>
  </si>
  <si>
    <t xml:space="preserve">10-11 minggu (± 2.5 bulan)</t>
  </si>
  <si>
    <t xml:space="preserve">Estimasi Durasi Kalender (tanpa overlap, fase strict berurutan)</t>
  </si>
  <si>
    <t xml:space="preserve">minggu</t>
  </si>
  <si>
    <t xml:space="preserve">KOMPOSISI TIM REKOMENDASI</t>
  </si>
  <si>
    <t xml:space="preserve">Role</t>
  </si>
  <si>
    <t xml:space="preserve">Alokasi</t>
  </si>
  <si>
    <t xml:space="preserve">Total Mandays</t>
  </si>
  <si>
    <t xml:space="preserve">Catatan Peran</t>
  </si>
  <si>
    <t xml:space="preserve">Tech Lead / Senior Developer</t>
  </si>
  <si>
    <t xml:space="preserve">100% (full-time)</t>
  </si>
  <si>
    <t xml:space="preserve">Arsitektur, migrasi berisiko, modul Penawaran (paling kompleks), review kode</t>
  </si>
  <si>
    <t xml:space="preserve">Backend Developer</t>
  </si>
  <si>
    <t xml:space="preserve">Model, migration, business logic pendukung</t>
  </si>
  <si>
    <t xml:space="preserve">Fullstack Developer (Livewire)</t>
  </si>
  <si>
    <t xml:space="preserve">2 orang x 100% (full-time)</t>
  </si>
  <si>
    <t xml:space="preserve">Seluruh modul UI: Contract, RO, CustomerPO, Site, Presensi, Tanda Tangan</t>
  </si>
  <si>
    <t xml:space="preserve">QA / Tester</t>
  </si>
  <si>
    <t xml:space="preserve">100% (full-time, mulai penuh di Fase 3)</t>
  </si>
  <si>
    <t xml:space="preserve">Test case, functional &amp; regression testing, dampingi UAT</t>
  </si>
  <si>
    <t xml:space="preserve">Business Analyst</t>
  </si>
  <si>
    <t xml:space="preserve">~40% (paruh waktu, padat di Fase 0 &amp; 4)</t>
  </si>
  <si>
    <t xml:space="preserve">Requirement, dokumentasi, training user</t>
  </si>
  <si>
    <t xml:space="preserve">UI/UX Designer</t>
  </si>
  <si>
    <t xml:space="preserve">~20% (paruh waktu, hanya Fase 0)</t>
  </si>
  <si>
    <t xml:space="preserve">Wireframe/mockup layar baru</t>
  </si>
  <si>
    <t xml:space="preserve">TOTAL</t>
  </si>
  <si>
    <t xml:space="preserve">CATATAN &amp; ASUMSI</t>
  </si>
  <si>
    <t xml:space="preserve">• 1 manday = 1 orang bekerja 1 hari efektif (~7 jam), 5 hari kerja/minggu.</t>
  </si>
  <si>
    <t xml:space="preserve">• Estimasi disusun berdasarkan cakupan fitur yang sudah didiskusikan &amp; dibangun sebagai prototipe di sesi ini (12 entity baru, 4 entity existing yang disesuaikan, modul Presensi GPS, dan Tanda Tangan Digital).</t>
  </si>
  <si>
    <t xml:space="preserve">• Sudah termasuk regression testing modul Purchasing/RFQ existing, karena skema tabel request_for_quotations ikut berubah (kolom project_id dibuat nullable + constraint baru) -- ini titik risiko utama proyek.</t>
  </si>
  <si>
    <t xml:space="preserve">• Durasi kalender TIDAK sama dengan total mandays dibagi jumlah orang, karena ada dependency antar fase (desain -&gt; backend -&gt; frontend -&gt; QA) yang membatasi paralelisasi penuh.</t>
  </si>
  <si>
    <t xml:space="preserve">• Belum termasuk: lisensi/biaya infrastruktur, kontinjensi khusus untuk perubahan scope di tengah jalan, dan biaya tarif harian (isi sendiri di sheet 'Rekap per Role' sesuai standar internal perusahaan).</t>
  </si>
  <si>
    <t xml:space="preserve">• Tim lebih kecil (mis. 3-4 orang merangkap beberapa peran) akan memperpanjang durasi kalender secara proporsional, meski total mandays tetap sama.</t>
  </si>
  <si>
    <t xml:space="preserve">Rincian Task &amp; Estimasi Mandays per Fase</t>
  </si>
  <si>
    <t xml:space="preserve">No</t>
  </si>
  <si>
    <t xml:space="preserve">Fase</t>
  </si>
  <si>
    <t xml:space="preserve">Task / Deliverable</t>
  </si>
  <si>
    <t xml:space="preserve">Mandays</t>
  </si>
  <si>
    <t xml:space="preserve">Catatan</t>
  </si>
  <si>
    <t xml:space="preserve">Fase 0 - Analisa &amp; Desain</t>
  </si>
  <si>
    <t xml:space="preserve">Analisa proses bisnis &amp; penyusunan functional spec</t>
  </si>
  <si>
    <t xml:space="preserve">Desain ERD / skema database (12 tabel baru + perubahan tabel existing)</t>
  </si>
  <si>
    <t xml:space="preserve">Desain arsitektur teknis &amp; mitigasi risiko (migrasi data live, RFQ dual-context, backward-compatibility)</t>
  </si>
  <si>
    <t xml:space="preserve">Risiko tinggi: menyentuh tabel Purchasing yang sudah dipakai produksi</t>
  </si>
  <si>
    <t xml:space="preserve">Wireframe &amp; UI mockup seluruh layar baru</t>
  </si>
  <si>
    <t xml:space="preserve">Review &amp; sign-off desain dengan stakeholder (Direktur/Project Controller)</t>
  </si>
  <si>
    <t xml:space="preserve">Fase 1 - Backend Foundation</t>
  </si>
  <si>
    <t xml:space="preserve">Migration 12 tabel baru + 4 alter tabel existing</t>
  </si>
  <si>
    <t xml:space="preserve">Termasuk kolom nullable + CHECK constraint pada tabel RFQ existing</t>
  </si>
  <si>
    <t xml:space="preserve">Model inti: Customer, Contract (tracking nilai terpakai/sisa plafon), Site (geofencing)</t>
  </si>
  <si>
    <t xml:space="preserve">Model: ReleaseOrder + ReleaseOrderItem</t>
  </si>
  <si>
    <t xml:space="preserve">Model &amp; state machine: CustomerQuotation + Item (draft-submit-approve-reject-revisi)</t>
  </si>
  <si>
    <t xml:space="preserve">Model: CustomerPurchaseOrder (auto convert ke Project), ProjectBudgetLine</t>
  </si>
  <si>
    <t xml:space="preserve">Model: Attendance, UserSignature, DocumentSignature (polymorphic)</t>
  </si>
  <si>
    <t xml:space="preserve">Penyesuaian model existing: Project, Activity, Assignment</t>
  </si>
  <si>
    <t xml:space="preserve">Penyesuaian RequestForQuotation jadi dual-context (procurement vs costing)</t>
  </si>
  <si>
    <t xml:space="preserve">Berisiko regresi ke modul Purchasing yang sudah berjalan</t>
  </si>
  <si>
    <t xml:space="preserve">Role &amp; permission baru + penyesuaian access matrix</t>
  </si>
  <si>
    <t xml:space="preserve">Fase 2 - Modul Fitur (UI/Livewire)</t>
  </si>
  <si>
    <t xml:space="preserve">Modul Kelola Customer (CRUD)</t>
  </si>
  <si>
    <t xml:space="preserve">Modul Kelola Contract (CRUD, detail, plafon, multi-site, upload dokumen)</t>
  </si>
  <si>
    <t xml:space="preserve">Modul Release Order (buat dari kontrak, item CRUD, status, edit/batalkan/hapus)</t>
  </si>
  <si>
    <t xml:space="preserve">Penyesuaian UI modul RFQ existing (dual-context procurement vs costing)</t>
  </si>
  <si>
    <t xml:space="preserve">Modul Penawaran/CustomerQuotation (item builder, revisi, approval Direktur, keputusan customer)</t>
  </si>
  <si>
    <t xml:space="preserve">Modul komersial paling kompleks</t>
  </si>
  <si>
    <t xml:space="preserve">Modul CustomerPurchaseOrder (terima PO, convert ke Project + budget breakdown)</t>
  </si>
  <si>
    <t xml:space="preserve">Breakdown budget Project per kategori + laporan realisasi</t>
  </si>
  <si>
    <t xml:space="preserve">Modul Site/Lokasi (CRUD + picker peta lat/long)</t>
  </si>
  <si>
    <t xml:space="preserve">Modul Presensi Teknisi (check-in geolocation, validasi radius, hard-block)</t>
  </si>
  <si>
    <t xml:space="preserve">Modul Override Presensi (Admin/PM + audit trail)</t>
  </si>
  <si>
    <t xml:space="preserve">Integrasi wajib-presensi ke Submit Laporan</t>
  </si>
  <si>
    <t xml:space="preserve">Modul Tanda Tangan Digital (canvas + upload + kelola default + serving file aman)</t>
  </si>
  <si>
    <t xml:space="preserve">Integrasi tanda tangan ke dokumen Penawaran</t>
  </si>
  <si>
    <t xml:space="preserve">Dashboard/widget ringkasan kontrak &amp; plafon</t>
  </si>
  <si>
    <t xml:space="preserve">Navigasi, permission-gating UI, polish tampilan</t>
  </si>
  <si>
    <t xml:space="preserve">Fase 3 - QA &amp; Testing</t>
  </si>
  <si>
    <t xml:space="preserve">Penyusunan test case (functional + regresi)</t>
  </si>
  <si>
    <t xml:space="preserve">Functional testing seluruh modul baru</t>
  </si>
  <si>
    <t xml:space="preserve">Regression testing modul existing (Purchasing, RFQ, PO, Project, KPI)</t>
  </si>
  <si>
    <t xml:space="preserve">Wajib karena skema tabel Purchasing berubah</t>
  </si>
  <si>
    <t xml:space="preserve">Bug fixing hasil temuan QA</t>
  </si>
  <si>
    <t xml:space="preserve">UAT bersama user (iteratif, proses bisnis komersial biasanya banyak revisi)</t>
  </si>
  <si>
    <t xml:space="preserve">Perbaikan hasil UAT</t>
  </si>
  <si>
    <t xml:space="preserve">Fase 4 - Deployment &amp; Dokumentasi</t>
  </si>
  <si>
    <t xml:space="preserve">Migration rehearsal di staging (copy DB produksi) + rollback plan</t>
  </si>
  <si>
    <t xml:space="preserve">Deployment ke production + monitoring pasca-rilis</t>
  </si>
  <si>
    <t xml:space="preserve">Dokumentasi user (SOP Project Controller, panduan presensi Teknisi)</t>
  </si>
  <si>
    <t xml:space="preserve">Training user</t>
  </si>
  <si>
    <t xml:space="preserve">Rekap Mandays &amp; Estimasi Biaya per Role</t>
  </si>
  <si>
    <t xml:space="preserve">Isi kolom 'Tarif per Manday (Rp)' (sel kuning) sesuai standar rate internal perusahaan Anda.</t>
  </si>
  <si>
    <t xml:space="preserve">Tarif per Manday (Rp)</t>
  </si>
  <si>
    <t xml:space="preserve">Total Estimasi Biaya (Rp)</t>
  </si>
  <si>
    <t xml:space="preserve">Catatan: Total Mandays di sini ditarik otomatis (SUMIF) dari sheet 'Rincian Task'. Tarif per manday TIDAK diisi otomatis -- silakan sesuaikan dengan standar gaji/vendor rate perusahaan.</t>
  </si>
  <si>
    <t xml:space="preserve">Timeline Estimasi per Fase</t>
  </si>
  <si>
    <t xml:space="preserve">Asumsi tim inti: 1 Tech Lead + 1 Backend Developer + 2 Fullstack Developer + 1 QA (+ BA &amp; UI/UX paruh waktu)</t>
  </si>
  <si>
    <t xml:space="preserve">Deskripsi Singkat</t>
  </si>
  <si>
    <t xml:space="preserve">Role Terlibat</t>
  </si>
  <si>
    <t xml:space="preserve">Mandays Fase</t>
  </si>
  <si>
    <t xml:space="preserve">Estimasi Durasi Kalender (minggu)</t>
  </si>
  <si>
    <t xml:space="preserve">Functional spec, ERD, arsitektur teknis, wireframe, sign-off</t>
  </si>
  <si>
    <t xml:space="preserve">BA, Tech Lead, UI/UX Designer</t>
  </si>
  <si>
    <t xml:space="preserve">Migration, model, state machine, RBAC</t>
  </si>
  <si>
    <t xml:space="preserve">Tech Lead, Backend Developer</t>
  </si>
  <si>
    <t xml:space="preserve">Seluruh modul: Customer, Contract, RO, Penawaran, CustomerPO, Site, Presensi, Tanda Tangan</t>
  </si>
  <si>
    <t xml:space="preserve">Tech Lead, Fullstack Developer x2</t>
  </si>
  <si>
    <t xml:space="preserve">Test case, functional &amp; regression testing, bug fixing, UAT</t>
  </si>
  <si>
    <t xml:space="preserve">QA, Backend Developer, Fullstack Developer</t>
  </si>
  <si>
    <t xml:space="preserve">Migration rehearsal, deployment produksi, dokumentasi, training</t>
  </si>
  <si>
    <t xml:space="preserve">Tech Lead, Business Analyst</t>
  </si>
  <si>
    <t xml:space="preserve">TOTAL (bila fase berurutan penuh, tanpa overlap)</t>
  </si>
  <si>
    <t xml:space="preserve">Catatan: 13 minggu di atas asumsi fase berjalan strict berurutan (worst case). Dengan overlap wajar (mis. QA mulai smoke test modul yang sudah selesai sementara fase 2 masih berjalan di modul lain, dokumentasi berjalan paralel dengan testing), durasi realistis untuk tim 6 orang adalah 10-11 minggu.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</si>
</sst>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&quot;Rp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5E7EB"/>
        <bgColor rgb="FFF5F3FF"/>
      </patternFill>
    </fill>
    <fill>
      <patternFill patternType="solid">
        <fgColor rgb="FF1F2937"/>
        <bgColor rgb="FF333300"/>
      </patternFill>
    </fill>
    <fill>
      <patternFill patternType="solid">
        <fgColor rgb="FFD1D5DB"/>
        <bgColor rgb="FFE5E7EB"/>
      </patternFill>
    </fill>
    <fill>
      <patternFill patternType="solid">
        <fgColor rgb="FFEFF6FF"/>
        <bgColor rgb="FFF5F3FF"/>
      </patternFill>
    </fill>
    <fill>
      <patternFill patternType="solid">
        <fgColor rgb="FFF0FDF4"/>
        <bgColor rgb="FFEFF6FF"/>
      </patternFill>
    </fill>
    <fill>
      <patternFill patternType="solid">
        <fgColor rgb="FFFEFCE8"/>
        <bgColor rgb="FFFFFFFF"/>
      </patternFill>
    </fill>
    <fill>
      <patternFill patternType="solid">
        <fgColor rgb="FFFDF2F8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E8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5E7EB"/>
      <rgbColor rgb="FFFDF2F8"/>
      <rgbColor rgb="FF99CCFF"/>
      <rgbColor rgb="FFFF99CC"/>
      <rgbColor rgb="FFCC99FF"/>
      <rgbColor rgb="FFF5F3FF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4" t="s">
        <v>4</v>
      </c>
      <c r="B6" s="5" t="s">
        <v>5</v>
      </c>
      <c r="C6" s="6" t="n">
        <f aca="false">'Rekap per Role'!B11</f>
        <v>114</v>
      </c>
      <c r="D6" s="6"/>
    </row>
    <row r="7" customFormat="false" ht="15" hidden="false" customHeight="false" outlineLevel="0" collapsed="false">
      <c r="A7" s="4" t="s">
        <v>6</v>
      </c>
      <c r="B7" s="5" t="s">
        <v>7</v>
      </c>
      <c r="C7" s="7" t="n">
        <f aca="false">COUNTA('Rincian Task'!A3:A43)</f>
        <v>41</v>
      </c>
      <c r="D7" s="7"/>
    </row>
    <row r="8" customFormat="false" ht="15" hidden="false" customHeight="false" outlineLevel="0" collapsed="false">
      <c r="A8" s="4" t="s">
        <v>8</v>
      </c>
      <c r="C8" s="8" t="s">
        <v>9</v>
      </c>
      <c r="D8" s="8"/>
    </row>
    <row r="9" customFormat="false" ht="15" hidden="false" customHeight="false" outlineLevel="0" collapsed="false">
      <c r="A9" s="4" t="s">
        <v>10</v>
      </c>
      <c r="B9" s="5" t="s">
        <v>11</v>
      </c>
      <c r="C9" s="6" t="n">
        <f aca="false">Timeline!E10</f>
        <v>13</v>
      </c>
      <c r="D9" s="6"/>
    </row>
    <row r="11" customFormat="false" ht="15" hidden="false" customHeight="false" outlineLevel="0" collapsed="false">
      <c r="A11" s="3" t="s">
        <v>12</v>
      </c>
      <c r="B11" s="3"/>
      <c r="C11" s="3"/>
      <c r="D11" s="3"/>
    </row>
    <row r="12" customFormat="false" ht="15" hidden="false" customHeight="false" outlineLevel="0" collapsed="false">
      <c r="A12" s="9" t="s">
        <v>13</v>
      </c>
      <c r="B12" s="9" t="s">
        <v>14</v>
      </c>
      <c r="C12" s="9" t="s">
        <v>15</v>
      </c>
      <c r="D12" s="9" t="s">
        <v>16</v>
      </c>
    </row>
    <row r="13" customFormat="false" ht="23.85" hidden="false" customHeight="false" outlineLevel="0" collapsed="false">
      <c r="A13" s="10" t="s">
        <v>17</v>
      </c>
      <c r="B13" s="10" t="s">
        <v>18</v>
      </c>
      <c r="C13" s="11" t="n">
        <f aca="false">SUMIF('Rincian Task'!$D$3:$D$43,A13,'Rincian Task'!$E$3:$E$43)</f>
        <v>26</v>
      </c>
      <c r="D13" s="10" t="s">
        <v>19</v>
      </c>
    </row>
    <row r="14" customFormat="false" ht="15" hidden="false" customHeight="false" outlineLevel="0" collapsed="false">
      <c r="A14" s="10" t="s">
        <v>20</v>
      </c>
      <c r="B14" s="10" t="s">
        <v>18</v>
      </c>
      <c r="C14" s="11" t="n">
        <f aca="false">SUMIF('Rincian Task'!$D$3:$D$43,A14,'Rincian Task'!$E$3:$E$43)</f>
        <v>17</v>
      </c>
      <c r="D14" s="10" t="s">
        <v>21</v>
      </c>
    </row>
    <row r="15" customFormat="false" ht="23.85" hidden="false" customHeight="false" outlineLevel="0" collapsed="false">
      <c r="A15" s="10" t="s">
        <v>22</v>
      </c>
      <c r="B15" s="10" t="s">
        <v>23</v>
      </c>
      <c r="C15" s="11" t="n">
        <f aca="false">SUMIF('Rincian Task'!$D$3:$D$43,A15,'Rincian Task'!$E$3:$E$43)</f>
        <v>46</v>
      </c>
      <c r="D15" s="10" t="s">
        <v>24</v>
      </c>
    </row>
    <row r="16" customFormat="false" ht="23.85" hidden="false" customHeight="false" outlineLevel="0" collapsed="false">
      <c r="A16" s="10" t="s">
        <v>25</v>
      </c>
      <c r="B16" s="10" t="s">
        <v>26</v>
      </c>
      <c r="C16" s="11" t="n">
        <f aca="false">SUMIF('Rincian Task'!$D$3:$D$43,A16,'Rincian Task'!$E$3:$E$43)</f>
        <v>12</v>
      </c>
      <c r="D16" s="10" t="s">
        <v>27</v>
      </c>
    </row>
    <row r="17" customFormat="false" ht="23.85" hidden="false" customHeight="false" outlineLevel="0" collapsed="false">
      <c r="A17" s="10" t="s">
        <v>28</v>
      </c>
      <c r="B17" s="10" t="s">
        <v>29</v>
      </c>
      <c r="C17" s="11" t="n">
        <f aca="false">SUMIF('Rincian Task'!$D$3:$D$43,A17,'Rincian Task'!$E$3:$E$43)</f>
        <v>8</v>
      </c>
      <c r="D17" s="10" t="s">
        <v>30</v>
      </c>
    </row>
    <row r="18" customFormat="false" ht="23.85" hidden="false" customHeight="false" outlineLevel="0" collapsed="false">
      <c r="A18" s="10" t="s">
        <v>31</v>
      </c>
      <c r="B18" s="10" t="s">
        <v>32</v>
      </c>
      <c r="C18" s="11" t="n">
        <f aca="false">SUMIF('Rincian Task'!$D$3:$D$43,A18,'Rincian Task'!$E$3:$E$43)</f>
        <v>5</v>
      </c>
      <c r="D18" s="10" t="s">
        <v>33</v>
      </c>
    </row>
    <row r="19" customFormat="false" ht="15" hidden="false" customHeight="false" outlineLevel="0" collapsed="false">
      <c r="A19" s="12" t="s">
        <v>34</v>
      </c>
      <c r="B19" s="13"/>
      <c r="C19" s="14" t="n">
        <f aca="false">SUM(C13:C18)</f>
        <v>114</v>
      </c>
      <c r="D19" s="13"/>
    </row>
    <row r="21" customFormat="false" ht="15" hidden="false" customHeight="false" outlineLevel="0" collapsed="false">
      <c r="A21" s="3" t="s">
        <v>35</v>
      </c>
      <c r="B21" s="3"/>
      <c r="C21" s="3"/>
      <c r="D21" s="3"/>
    </row>
    <row r="22" customFormat="false" ht="27.75" hidden="false" customHeight="true" outlineLevel="0" collapsed="false">
      <c r="A22" s="15" t="s">
        <v>36</v>
      </c>
      <c r="B22" s="15"/>
      <c r="C22" s="15"/>
      <c r="D22" s="15"/>
    </row>
    <row r="23" customFormat="false" ht="27.75" hidden="false" customHeight="true" outlineLevel="0" collapsed="false">
      <c r="A23" s="15" t="s">
        <v>37</v>
      </c>
      <c r="B23" s="15"/>
      <c r="C23" s="15"/>
      <c r="D23" s="15"/>
    </row>
    <row r="24" customFormat="false" ht="27.75" hidden="false" customHeight="true" outlineLevel="0" collapsed="false">
      <c r="A24" s="15" t="s">
        <v>38</v>
      </c>
      <c r="B24" s="15"/>
      <c r="C24" s="15"/>
      <c r="D24" s="15"/>
    </row>
    <row r="25" customFormat="false" ht="27.75" hidden="false" customHeight="true" outlineLevel="0" collapsed="false">
      <c r="A25" s="15" t="s">
        <v>39</v>
      </c>
      <c r="B25" s="15"/>
      <c r="C25" s="15"/>
      <c r="D25" s="15"/>
    </row>
    <row r="26" customFormat="false" ht="27.75" hidden="false" customHeight="true" outlineLevel="0" collapsed="false">
      <c r="A26" s="15" t="s">
        <v>40</v>
      </c>
      <c r="B26" s="15"/>
      <c r="C26" s="15"/>
      <c r="D26" s="15"/>
    </row>
    <row r="27" customFormat="false" ht="27.75" hidden="false" customHeight="true" outlineLevel="0" collapsed="false">
      <c r="A27" s="15" t="s">
        <v>41</v>
      </c>
      <c r="B27" s="15"/>
      <c r="C27" s="15"/>
      <c r="D27" s="15"/>
    </row>
  </sheetData>
  <mergeCells count="16">
    <mergeCell ref="A1:D1"/>
    <mergeCell ref="A2:D2"/>
    <mergeCell ref="A3:D3"/>
    <mergeCell ref="A5:D5"/>
    <mergeCell ref="C6:D6"/>
    <mergeCell ref="C7:D7"/>
    <mergeCell ref="C8:D8"/>
    <mergeCell ref="C9:D9"/>
    <mergeCell ref="A11:D11"/>
    <mergeCell ref="A21:D21"/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42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43</v>
      </c>
      <c r="B2" s="16" t="s">
        <v>44</v>
      </c>
      <c r="C2" s="16" t="s">
        <v>45</v>
      </c>
      <c r="D2" s="16" t="s">
        <v>13</v>
      </c>
      <c r="E2" s="16" t="s">
        <v>46</v>
      </c>
      <c r="F2" s="16" t="s">
        <v>47</v>
      </c>
    </row>
    <row r="3" customFormat="false" ht="23.85" hidden="false" customHeight="false" outlineLevel="0" collapsed="false">
      <c r="A3" s="17" t="n">
        <v>1</v>
      </c>
      <c r="B3" s="18" t="s">
        <v>48</v>
      </c>
      <c r="C3" s="18" t="s">
        <v>49</v>
      </c>
      <c r="D3" s="18" t="s">
        <v>28</v>
      </c>
      <c r="E3" s="19" t="n">
        <v>4</v>
      </c>
      <c r="F3" s="20"/>
    </row>
    <row r="4" customFormat="false" ht="23.85" hidden="false" customHeight="false" outlineLevel="0" collapsed="false">
      <c r="A4" s="17" t="n">
        <v>2</v>
      </c>
      <c r="B4" s="18" t="s">
        <v>48</v>
      </c>
      <c r="C4" s="18" t="s">
        <v>50</v>
      </c>
      <c r="D4" s="18" t="s">
        <v>17</v>
      </c>
      <c r="E4" s="19" t="n">
        <v>3</v>
      </c>
      <c r="F4" s="20"/>
    </row>
    <row r="5" customFormat="false" ht="23.85" hidden="false" customHeight="false" outlineLevel="0" collapsed="false">
      <c r="A5" s="17" t="n">
        <v>3</v>
      </c>
      <c r="B5" s="18" t="s">
        <v>48</v>
      </c>
      <c r="C5" s="18" t="s">
        <v>51</v>
      </c>
      <c r="D5" s="18" t="s">
        <v>17</v>
      </c>
      <c r="E5" s="19" t="n">
        <v>3</v>
      </c>
      <c r="F5" s="20" t="s">
        <v>52</v>
      </c>
    </row>
    <row r="6" customFormat="false" ht="23.85" hidden="false" customHeight="false" outlineLevel="0" collapsed="false">
      <c r="A6" s="17" t="n">
        <v>4</v>
      </c>
      <c r="B6" s="18" t="s">
        <v>48</v>
      </c>
      <c r="C6" s="18" t="s">
        <v>53</v>
      </c>
      <c r="D6" s="18" t="s">
        <v>31</v>
      </c>
      <c r="E6" s="19" t="n">
        <v>5</v>
      </c>
      <c r="F6" s="20"/>
    </row>
    <row r="7" customFormat="false" ht="23.85" hidden="false" customHeight="false" outlineLevel="0" collapsed="false">
      <c r="A7" s="17" t="n">
        <v>5</v>
      </c>
      <c r="B7" s="18" t="s">
        <v>48</v>
      </c>
      <c r="C7" s="18" t="s">
        <v>54</v>
      </c>
      <c r="D7" s="18" t="s">
        <v>28</v>
      </c>
      <c r="E7" s="19" t="n">
        <v>1</v>
      </c>
      <c r="F7" s="20"/>
    </row>
    <row r="8" customFormat="false" ht="23.85" hidden="false" customHeight="false" outlineLevel="0" collapsed="false">
      <c r="A8" s="17" t="n">
        <v>6</v>
      </c>
      <c r="B8" s="18" t="s">
        <v>48</v>
      </c>
      <c r="C8" s="18" t="s">
        <v>54</v>
      </c>
      <c r="D8" s="18" t="s">
        <v>17</v>
      </c>
      <c r="E8" s="19" t="n">
        <v>1</v>
      </c>
      <c r="F8" s="20"/>
    </row>
    <row r="9" customFormat="false" ht="23.85" hidden="false" customHeight="false" outlineLevel="0" collapsed="false">
      <c r="A9" s="21" t="n">
        <v>7</v>
      </c>
      <c r="B9" s="22" t="s">
        <v>55</v>
      </c>
      <c r="C9" s="22" t="s">
        <v>56</v>
      </c>
      <c r="D9" s="22" t="s">
        <v>17</v>
      </c>
      <c r="E9" s="23" t="n">
        <v>4</v>
      </c>
      <c r="F9" s="24" t="s">
        <v>57</v>
      </c>
    </row>
    <row r="10" customFormat="false" ht="23.85" hidden="false" customHeight="false" outlineLevel="0" collapsed="false">
      <c r="A10" s="21" t="n">
        <v>8</v>
      </c>
      <c r="B10" s="22" t="s">
        <v>55</v>
      </c>
      <c r="C10" s="22" t="s">
        <v>58</v>
      </c>
      <c r="D10" s="22" t="s">
        <v>20</v>
      </c>
      <c r="E10" s="23" t="n">
        <v>3</v>
      </c>
      <c r="F10" s="24"/>
    </row>
    <row r="11" customFormat="false" ht="23.85" hidden="false" customHeight="false" outlineLevel="0" collapsed="false">
      <c r="A11" s="21" t="n">
        <v>9</v>
      </c>
      <c r="B11" s="22" t="s">
        <v>55</v>
      </c>
      <c r="C11" s="22" t="s">
        <v>59</v>
      </c>
      <c r="D11" s="22" t="s">
        <v>20</v>
      </c>
      <c r="E11" s="23" t="n">
        <v>2</v>
      </c>
      <c r="F11" s="24"/>
    </row>
    <row r="12" customFormat="false" ht="23.85" hidden="false" customHeight="false" outlineLevel="0" collapsed="false">
      <c r="A12" s="21" t="n">
        <v>10</v>
      </c>
      <c r="B12" s="22" t="s">
        <v>55</v>
      </c>
      <c r="C12" s="22" t="s">
        <v>60</v>
      </c>
      <c r="D12" s="22" t="s">
        <v>17</v>
      </c>
      <c r="E12" s="23" t="n">
        <v>4</v>
      </c>
      <c r="F12" s="24"/>
    </row>
    <row r="13" customFormat="false" ht="23.85" hidden="false" customHeight="false" outlineLevel="0" collapsed="false">
      <c r="A13" s="21" t="n">
        <v>11</v>
      </c>
      <c r="B13" s="22" t="s">
        <v>55</v>
      </c>
      <c r="C13" s="22" t="s">
        <v>61</v>
      </c>
      <c r="D13" s="22" t="s">
        <v>20</v>
      </c>
      <c r="E13" s="23" t="n">
        <v>3</v>
      </c>
      <c r="F13" s="24"/>
    </row>
    <row r="14" customFormat="false" ht="23.85" hidden="false" customHeight="false" outlineLevel="0" collapsed="false">
      <c r="A14" s="21" t="n">
        <v>12</v>
      </c>
      <c r="B14" s="22" t="s">
        <v>55</v>
      </c>
      <c r="C14" s="22" t="s">
        <v>62</v>
      </c>
      <c r="D14" s="22" t="s">
        <v>20</v>
      </c>
      <c r="E14" s="23" t="n">
        <v>3</v>
      </c>
      <c r="F14" s="24"/>
    </row>
    <row r="15" customFormat="false" ht="23.85" hidden="false" customHeight="false" outlineLevel="0" collapsed="false">
      <c r="A15" s="21" t="n">
        <v>13</v>
      </c>
      <c r="B15" s="22" t="s">
        <v>55</v>
      </c>
      <c r="C15" s="22" t="s">
        <v>63</v>
      </c>
      <c r="D15" s="22" t="s">
        <v>20</v>
      </c>
      <c r="E15" s="23" t="n">
        <v>2</v>
      </c>
      <c r="F15" s="24"/>
    </row>
    <row r="16" customFormat="false" ht="23.85" hidden="false" customHeight="false" outlineLevel="0" collapsed="false">
      <c r="A16" s="21" t="n">
        <v>14</v>
      </c>
      <c r="B16" s="22" t="s">
        <v>55</v>
      </c>
      <c r="C16" s="22" t="s">
        <v>64</v>
      </c>
      <c r="D16" s="22" t="s">
        <v>17</v>
      </c>
      <c r="E16" s="23" t="n">
        <v>3</v>
      </c>
      <c r="F16" s="24" t="s">
        <v>65</v>
      </c>
    </row>
    <row r="17" customFormat="false" ht="23.85" hidden="false" customHeight="false" outlineLevel="0" collapsed="false">
      <c r="A17" s="21" t="n">
        <v>15</v>
      </c>
      <c r="B17" s="22" t="s">
        <v>55</v>
      </c>
      <c r="C17" s="22" t="s">
        <v>66</v>
      </c>
      <c r="D17" s="22" t="s">
        <v>20</v>
      </c>
      <c r="E17" s="23" t="n">
        <v>1</v>
      </c>
      <c r="F17" s="24"/>
    </row>
    <row r="18" customFormat="false" ht="23.85" hidden="false" customHeight="false" outlineLevel="0" collapsed="false">
      <c r="A18" s="25" t="n">
        <v>16</v>
      </c>
      <c r="B18" s="26" t="s">
        <v>67</v>
      </c>
      <c r="C18" s="26" t="s">
        <v>68</v>
      </c>
      <c r="D18" s="26" t="s">
        <v>22</v>
      </c>
      <c r="E18" s="27" t="n">
        <v>2</v>
      </c>
      <c r="F18" s="28"/>
    </row>
    <row r="19" customFormat="false" ht="23.85" hidden="false" customHeight="false" outlineLevel="0" collapsed="false">
      <c r="A19" s="25" t="n">
        <v>17</v>
      </c>
      <c r="B19" s="26" t="s">
        <v>67</v>
      </c>
      <c r="C19" s="26" t="s">
        <v>69</v>
      </c>
      <c r="D19" s="26" t="s">
        <v>22</v>
      </c>
      <c r="E19" s="27" t="n">
        <v>4</v>
      </c>
      <c r="F19" s="28"/>
    </row>
    <row r="20" customFormat="false" ht="23.85" hidden="false" customHeight="false" outlineLevel="0" collapsed="false">
      <c r="A20" s="25" t="n">
        <v>18</v>
      </c>
      <c r="B20" s="26" t="s">
        <v>67</v>
      </c>
      <c r="C20" s="26" t="s">
        <v>70</v>
      </c>
      <c r="D20" s="26" t="s">
        <v>22</v>
      </c>
      <c r="E20" s="27" t="n">
        <v>4</v>
      </c>
      <c r="F20" s="28"/>
    </row>
    <row r="21" customFormat="false" ht="23.85" hidden="false" customHeight="false" outlineLevel="0" collapsed="false">
      <c r="A21" s="25" t="n">
        <v>19</v>
      </c>
      <c r="B21" s="26" t="s">
        <v>67</v>
      </c>
      <c r="C21" s="26" t="s">
        <v>71</v>
      </c>
      <c r="D21" s="26" t="s">
        <v>22</v>
      </c>
      <c r="E21" s="27" t="n">
        <v>3</v>
      </c>
      <c r="F21" s="28"/>
    </row>
    <row r="22" customFormat="false" ht="23.85" hidden="false" customHeight="false" outlineLevel="0" collapsed="false">
      <c r="A22" s="25" t="n">
        <v>20</v>
      </c>
      <c r="B22" s="26" t="s">
        <v>67</v>
      </c>
      <c r="C22" s="26" t="s">
        <v>72</v>
      </c>
      <c r="D22" s="26" t="s">
        <v>17</v>
      </c>
      <c r="E22" s="27" t="n">
        <v>5</v>
      </c>
      <c r="F22" s="28" t="s">
        <v>73</v>
      </c>
    </row>
    <row r="23" customFormat="false" ht="23.85" hidden="false" customHeight="false" outlineLevel="0" collapsed="false">
      <c r="A23" s="25" t="n">
        <v>21</v>
      </c>
      <c r="B23" s="26" t="s">
        <v>67</v>
      </c>
      <c r="C23" s="26" t="s">
        <v>74</v>
      </c>
      <c r="D23" s="26" t="s">
        <v>22</v>
      </c>
      <c r="E23" s="27" t="n">
        <v>3</v>
      </c>
      <c r="F23" s="28"/>
    </row>
    <row r="24" customFormat="false" ht="23.85" hidden="false" customHeight="false" outlineLevel="0" collapsed="false">
      <c r="A24" s="25" t="n">
        <v>22</v>
      </c>
      <c r="B24" s="26" t="s">
        <v>67</v>
      </c>
      <c r="C24" s="26" t="s">
        <v>75</v>
      </c>
      <c r="D24" s="26" t="s">
        <v>22</v>
      </c>
      <c r="E24" s="27" t="n">
        <v>3</v>
      </c>
      <c r="F24" s="28"/>
    </row>
    <row r="25" customFormat="false" ht="23.85" hidden="false" customHeight="false" outlineLevel="0" collapsed="false">
      <c r="A25" s="25" t="n">
        <v>23</v>
      </c>
      <c r="B25" s="26" t="s">
        <v>67</v>
      </c>
      <c r="C25" s="26" t="s">
        <v>76</v>
      </c>
      <c r="D25" s="26" t="s">
        <v>22</v>
      </c>
      <c r="E25" s="27" t="n">
        <v>3</v>
      </c>
      <c r="F25" s="28"/>
    </row>
    <row r="26" customFormat="false" ht="23.85" hidden="false" customHeight="false" outlineLevel="0" collapsed="false">
      <c r="A26" s="25" t="n">
        <v>24</v>
      </c>
      <c r="B26" s="26" t="s">
        <v>67</v>
      </c>
      <c r="C26" s="26" t="s">
        <v>77</v>
      </c>
      <c r="D26" s="26" t="s">
        <v>22</v>
      </c>
      <c r="E26" s="27" t="n">
        <v>3</v>
      </c>
      <c r="F26" s="28"/>
    </row>
    <row r="27" customFormat="false" ht="23.85" hidden="false" customHeight="false" outlineLevel="0" collapsed="false">
      <c r="A27" s="25" t="n">
        <v>25</v>
      </c>
      <c r="B27" s="26" t="s">
        <v>67</v>
      </c>
      <c r="C27" s="26" t="s">
        <v>78</v>
      </c>
      <c r="D27" s="26" t="s">
        <v>22</v>
      </c>
      <c r="E27" s="27" t="n">
        <v>2</v>
      </c>
      <c r="F27" s="28"/>
    </row>
    <row r="28" customFormat="false" ht="23.85" hidden="false" customHeight="false" outlineLevel="0" collapsed="false">
      <c r="A28" s="25" t="n">
        <v>26</v>
      </c>
      <c r="B28" s="26" t="s">
        <v>67</v>
      </c>
      <c r="C28" s="26" t="s">
        <v>79</v>
      </c>
      <c r="D28" s="26" t="s">
        <v>22</v>
      </c>
      <c r="E28" s="27" t="n">
        <v>1</v>
      </c>
      <c r="F28" s="28"/>
    </row>
    <row r="29" customFormat="false" ht="23.85" hidden="false" customHeight="false" outlineLevel="0" collapsed="false">
      <c r="A29" s="25" t="n">
        <v>27</v>
      </c>
      <c r="B29" s="26" t="s">
        <v>67</v>
      </c>
      <c r="C29" s="26" t="s">
        <v>80</v>
      </c>
      <c r="D29" s="26" t="s">
        <v>22</v>
      </c>
      <c r="E29" s="27" t="n">
        <v>3</v>
      </c>
      <c r="F29" s="28"/>
    </row>
    <row r="30" customFormat="false" ht="23.85" hidden="false" customHeight="false" outlineLevel="0" collapsed="false">
      <c r="A30" s="25" t="n">
        <v>28</v>
      </c>
      <c r="B30" s="26" t="s">
        <v>67</v>
      </c>
      <c r="C30" s="26" t="s">
        <v>81</v>
      </c>
      <c r="D30" s="26" t="s">
        <v>22</v>
      </c>
      <c r="E30" s="27" t="n">
        <v>2</v>
      </c>
      <c r="F30" s="28"/>
    </row>
    <row r="31" customFormat="false" ht="23.85" hidden="false" customHeight="false" outlineLevel="0" collapsed="false">
      <c r="A31" s="25" t="n">
        <v>29</v>
      </c>
      <c r="B31" s="26" t="s">
        <v>67</v>
      </c>
      <c r="C31" s="26" t="s">
        <v>82</v>
      </c>
      <c r="D31" s="26" t="s">
        <v>22</v>
      </c>
      <c r="E31" s="27" t="n">
        <v>2</v>
      </c>
      <c r="F31" s="28"/>
    </row>
    <row r="32" customFormat="false" ht="23.85" hidden="false" customHeight="false" outlineLevel="0" collapsed="false">
      <c r="A32" s="25" t="n">
        <v>30</v>
      </c>
      <c r="B32" s="26" t="s">
        <v>67</v>
      </c>
      <c r="C32" s="26" t="s">
        <v>83</v>
      </c>
      <c r="D32" s="26" t="s">
        <v>22</v>
      </c>
      <c r="E32" s="27" t="n">
        <v>2</v>
      </c>
      <c r="F32" s="28"/>
    </row>
    <row r="33" customFormat="false" ht="23.85" hidden="false" customHeight="false" outlineLevel="0" collapsed="false">
      <c r="A33" s="29" t="n">
        <v>31</v>
      </c>
      <c r="B33" s="30" t="s">
        <v>84</v>
      </c>
      <c r="C33" s="30" t="s">
        <v>85</v>
      </c>
      <c r="D33" s="30" t="s">
        <v>25</v>
      </c>
      <c r="E33" s="31" t="n">
        <v>3</v>
      </c>
      <c r="F33" s="32"/>
    </row>
    <row r="34" customFormat="false" ht="23.85" hidden="false" customHeight="false" outlineLevel="0" collapsed="false">
      <c r="A34" s="29" t="n">
        <v>32</v>
      </c>
      <c r="B34" s="30" t="s">
        <v>84</v>
      </c>
      <c r="C34" s="30" t="s">
        <v>86</v>
      </c>
      <c r="D34" s="30" t="s">
        <v>25</v>
      </c>
      <c r="E34" s="31" t="n">
        <v>6</v>
      </c>
      <c r="F34" s="32"/>
    </row>
    <row r="35" customFormat="false" ht="23.85" hidden="false" customHeight="false" outlineLevel="0" collapsed="false">
      <c r="A35" s="29" t="n">
        <v>33</v>
      </c>
      <c r="B35" s="30" t="s">
        <v>84</v>
      </c>
      <c r="C35" s="30" t="s">
        <v>87</v>
      </c>
      <c r="D35" s="30" t="s">
        <v>25</v>
      </c>
      <c r="E35" s="31" t="n">
        <v>3</v>
      </c>
      <c r="F35" s="32" t="s">
        <v>88</v>
      </c>
    </row>
    <row r="36" customFormat="false" ht="23.85" hidden="false" customHeight="false" outlineLevel="0" collapsed="false">
      <c r="A36" s="29" t="n">
        <v>34</v>
      </c>
      <c r="B36" s="30" t="s">
        <v>84</v>
      </c>
      <c r="C36" s="30" t="s">
        <v>89</v>
      </c>
      <c r="D36" s="30" t="s">
        <v>20</v>
      </c>
      <c r="E36" s="31" t="n">
        <v>3</v>
      </c>
      <c r="F36" s="32"/>
    </row>
    <row r="37" customFormat="false" ht="23.85" hidden="false" customHeight="false" outlineLevel="0" collapsed="false">
      <c r="A37" s="29" t="n">
        <v>35</v>
      </c>
      <c r="B37" s="30" t="s">
        <v>84</v>
      </c>
      <c r="C37" s="30" t="s">
        <v>89</v>
      </c>
      <c r="D37" s="30" t="s">
        <v>22</v>
      </c>
      <c r="E37" s="31" t="n">
        <v>3</v>
      </c>
      <c r="F37" s="32"/>
    </row>
    <row r="38" customFormat="false" ht="23.85" hidden="false" customHeight="false" outlineLevel="0" collapsed="false">
      <c r="A38" s="29" t="n">
        <v>36</v>
      </c>
      <c r="B38" s="30" t="s">
        <v>84</v>
      </c>
      <c r="C38" s="30" t="s">
        <v>90</v>
      </c>
      <c r="D38" s="30" t="s">
        <v>22</v>
      </c>
      <c r="E38" s="31" t="n">
        <v>3</v>
      </c>
      <c r="F38" s="32"/>
    </row>
    <row r="39" customFormat="false" ht="23.85" hidden="false" customHeight="false" outlineLevel="0" collapsed="false">
      <c r="A39" s="29" t="n">
        <v>37</v>
      </c>
      <c r="B39" s="30" t="s">
        <v>84</v>
      </c>
      <c r="C39" s="30" t="s">
        <v>91</v>
      </c>
      <c r="D39" s="30" t="s">
        <v>22</v>
      </c>
      <c r="E39" s="31" t="n">
        <v>3</v>
      </c>
      <c r="F39" s="32"/>
    </row>
    <row r="40" customFormat="false" ht="35.05" hidden="false" customHeight="false" outlineLevel="0" collapsed="false">
      <c r="A40" s="33" t="n">
        <v>38</v>
      </c>
      <c r="B40" s="34" t="s">
        <v>92</v>
      </c>
      <c r="C40" s="34" t="s">
        <v>93</v>
      </c>
      <c r="D40" s="34" t="s">
        <v>17</v>
      </c>
      <c r="E40" s="35" t="n">
        <v>2</v>
      </c>
      <c r="F40" s="36"/>
    </row>
    <row r="41" customFormat="false" ht="35.05" hidden="false" customHeight="false" outlineLevel="0" collapsed="false">
      <c r="A41" s="33" t="n">
        <v>39</v>
      </c>
      <c r="B41" s="34" t="s">
        <v>92</v>
      </c>
      <c r="C41" s="34" t="s">
        <v>94</v>
      </c>
      <c r="D41" s="34" t="s">
        <v>17</v>
      </c>
      <c r="E41" s="35" t="n">
        <v>1</v>
      </c>
      <c r="F41" s="36"/>
    </row>
    <row r="42" customFormat="false" ht="35.05" hidden="false" customHeight="false" outlineLevel="0" collapsed="false">
      <c r="A42" s="33" t="n">
        <v>40</v>
      </c>
      <c r="B42" s="34" t="s">
        <v>92</v>
      </c>
      <c r="C42" s="34" t="s">
        <v>95</v>
      </c>
      <c r="D42" s="34" t="s">
        <v>28</v>
      </c>
      <c r="E42" s="35" t="n">
        <v>2</v>
      </c>
      <c r="F42" s="36"/>
    </row>
    <row r="43" customFormat="false" ht="35.05" hidden="false" customHeight="false" outlineLevel="0" collapsed="false">
      <c r="A43" s="33" t="n">
        <v>41</v>
      </c>
      <c r="B43" s="34" t="s">
        <v>92</v>
      </c>
      <c r="C43" s="34" t="s">
        <v>96</v>
      </c>
      <c r="D43" s="34" t="s">
        <v>28</v>
      </c>
      <c r="E43" s="35" t="n">
        <v>1</v>
      </c>
      <c r="F43" s="36"/>
    </row>
    <row r="44" customFormat="false" ht="15" hidden="false" customHeight="false" outlineLevel="0" collapsed="false">
      <c r="A44" s="37"/>
      <c r="B44" s="37"/>
      <c r="C44" s="38" t="s">
        <v>34</v>
      </c>
      <c r="D44" s="37"/>
      <c r="E44" s="39" t="n">
        <f aca="false">SUM(E3:E43)</f>
        <v>114</v>
      </c>
      <c r="F44" s="3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22"/>
  </cols>
  <sheetData>
    <row r="1" customFormat="false" ht="19.7" hidden="false" customHeight="false" outlineLevel="0" collapsed="false">
      <c r="A1" s="1" t="s">
        <v>97</v>
      </c>
      <c r="B1" s="1"/>
      <c r="C1" s="1"/>
      <c r="D1" s="1"/>
    </row>
    <row r="2" customFormat="false" ht="15" hidden="false" customHeight="false" outlineLevel="0" collapsed="false">
      <c r="A2" s="2" t="s">
        <v>98</v>
      </c>
      <c r="B2" s="2"/>
      <c r="C2" s="2"/>
      <c r="D2" s="2"/>
    </row>
    <row r="4" customFormat="false" ht="23.85" hidden="false" customHeight="false" outlineLevel="0" collapsed="false">
      <c r="A4" s="40" t="s">
        <v>13</v>
      </c>
      <c r="B4" s="40" t="s">
        <v>15</v>
      </c>
      <c r="C4" s="40" t="s">
        <v>99</v>
      </c>
      <c r="D4" s="40" t="s">
        <v>100</v>
      </c>
    </row>
    <row r="5" customFormat="false" ht="15" hidden="false" customHeight="false" outlineLevel="0" collapsed="false">
      <c r="A5" s="41" t="s">
        <v>17</v>
      </c>
      <c r="B5" s="42" t="n">
        <f aca="false">SUMIF('Rincian Task'!$D$3:$D$43,A5,'Rincian Task'!$E$3:$E$43)</f>
        <v>26</v>
      </c>
      <c r="C5" s="43" t="n">
        <v>0</v>
      </c>
      <c r="D5" s="44" t="n">
        <f aca="false">B5*C5</f>
        <v>0</v>
      </c>
    </row>
    <row r="6" customFormat="false" ht="15" hidden="false" customHeight="false" outlineLevel="0" collapsed="false">
      <c r="A6" s="41" t="s">
        <v>20</v>
      </c>
      <c r="B6" s="42" t="n">
        <f aca="false">SUMIF('Rincian Task'!$D$3:$D$43,A6,'Rincian Task'!$E$3:$E$43)</f>
        <v>17</v>
      </c>
      <c r="C6" s="43" t="n">
        <v>0</v>
      </c>
      <c r="D6" s="44" t="n">
        <f aca="false">B6*C6</f>
        <v>0</v>
      </c>
    </row>
    <row r="7" customFormat="false" ht="15" hidden="false" customHeight="false" outlineLevel="0" collapsed="false">
      <c r="A7" s="41" t="s">
        <v>22</v>
      </c>
      <c r="B7" s="42" t="n">
        <f aca="false">SUMIF('Rincian Task'!$D$3:$D$43,A7,'Rincian Task'!$E$3:$E$43)</f>
        <v>46</v>
      </c>
      <c r="C7" s="43" t="n">
        <v>0</v>
      </c>
      <c r="D7" s="44" t="n">
        <f aca="false">B7*C7</f>
        <v>0</v>
      </c>
    </row>
    <row r="8" customFormat="false" ht="15" hidden="false" customHeight="false" outlineLevel="0" collapsed="false">
      <c r="A8" s="41" t="s">
        <v>25</v>
      </c>
      <c r="B8" s="42" t="n">
        <f aca="false">SUMIF('Rincian Task'!$D$3:$D$43,A8,'Rincian Task'!$E$3:$E$43)</f>
        <v>12</v>
      </c>
      <c r="C8" s="43" t="n">
        <v>0</v>
      </c>
      <c r="D8" s="44" t="n">
        <f aca="false">B8*C8</f>
        <v>0</v>
      </c>
    </row>
    <row r="9" customFormat="false" ht="15" hidden="false" customHeight="false" outlineLevel="0" collapsed="false">
      <c r="A9" s="41" t="s">
        <v>28</v>
      </c>
      <c r="B9" s="42" t="n">
        <f aca="false">SUMIF('Rincian Task'!$D$3:$D$43,A9,'Rincian Task'!$E$3:$E$43)</f>
        <v>8</v>
      </c>
      <c r="C9" s="43" t="n">
        <v>0</v>
      </c>
      <c r="D9" s="44" t="n">
        <f aca="false">B9*C9</f>
        <v>0</v>
      </c>
    </row>
    <row r="10" customFormat="false" ht="15" hidden="false" customHeight="false" outlineLevel="0" collapsed="false">
      <c r="A10" s="41" t="s">
        <v>31</v>
      </c>
      <c r="B10" s="42" t="n">
        <f aca="false">SUMIF('Rincian Task'!$D$3:$D$43,A10,'Rincian Task'!$E$3:$E$43)</f>
        <v>5</v>
      </c>
      <c r="C10" s="43" t="n">
        <v>0</v>
      </c>
      <c r="D10" s="44" t="n">
        <f aca="false">B10*C10</f>
        <v>0</v>
      </c>
    </row>
    <row r="11" customFormat="false" ht="15" hidden="false" customHeight="false" outlineLevel="0" collapsed="false">
      <c r="A11" s="12" t="s">
        <v>34</v>
      </c>
      <c r="B11" s="14" t="n">
        <f aca="false">SUM(B5:B10)</f>
        <v>114</v>
      </c>
      <c r="C11" s="13"/>
      <c r="D11" s="45" t="n">
        <f aca="false">SUM(D5:D10)</f>
        <v>0</v>
      </c>
    </row>
    <row r="13" customFormat="false" ht="27.75" hidden="false" customHeight="true" outlineLevel="0" collapsed="false">
      <c r="A13" s="46" t="s">
        <v>101</v>
      </c>
      <c r="B13" s="46"/>
      <c r="C13" s="46"/>
      <c r="D13" s="46"/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102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</row>
    <row r="4" customFormat="false" ht="15" hidden="false" customHeight="false" outlineLevel="0" collapsed="false">
      <c r="A4" s="40" t="s">
        <v>44</v>
      </c>
      <c r="B4" s="40" t="s">
        <v>104</v>
      </c>
      <c r="C4" s="40" t="s">
        <v>105</v>
      </c>
      <c r="D4" s="40" t="s">
        <v>106</v>
      </c>
      <c r="E4" s="40" t="s">
        <v>107</v>
      </c>
    </row>
    <row r="5" customFormat="false" ht="23.85" hidden="false" customHeight="false" outlineLevel="0" collapsed="false">
      <c r="A5" s="47" t="s">
        <v>48</v>
      </c>
      <c r="B5" s="47" t="s">
        <v>108</v>
      </c>
      <c r="C5" s="47" t="s">
        <v>109</v>
      </c>
      <c r="D5" s="48" t="n">
        <f aca="false">SUMIF('Rincian Task'!$B$3:$B$43,A5,'Rincian Task'!$E$3:$E$43)</f>
        <v>17</v>
      </c>
      <c r="E5" s="49" t="n">
        <v>2</v>
      </c>
    </row>
    <row r="6" customFormat="false" ht="15" hidden="false" customHeight="false" outlineLevel="0" collapsed="false">
      <c r="A6" s="47" t="s">
        <v>55</v>
      </c>
      <c r="B6" s="47" t="s">
        <v>110</v>
      </c>
      <c r="C6" s="47" t="s">
        <v>111</v>
      </c>
      <c r="D6" s="48" t="n">
        <f aca="false">SUMIF('Rincian Task'!$B$3:$B$43,A6,'Rincian Task'!$E$3:$E$43)</f>
        <v>25</v>
      </c>
      <c r="E6" s="49" t="n">
        <v>3</v>
      </c>
    </row>
    <row r="7" customFormat="false" ht="23.85" hidden="false" customHeight="false" outlineLevel="0" collapsed="false">
      <c r="A7" s="47" t="s">
        <v>67</v>
      </c>
      <c r="B7" s="47" t="s">
        <v>112</v>
      </c>
      <c r="C7" s="47" t="s">
        <v>113</v>
      </c>
      <c r="D7" s="48" t="n">
        <f aca="false">SUMIF('Rincian Task'!$B$3:$B$43,A7,'Rincian Task'!$E$3:$E$43)</f>
        <v>42</v>
      </c>
      <c r="E7" s="49" t="n">
        <v>4</v>
      </c>
    </row>
    <row r="8" customFormat="false" ht="23.85" hidden="false" customHeight="false" outlineLevel="0" collapsed="false">
      <c r="A8" s="47" t="s">
        <v>84</v>
      </c>
      <c r="B8" s="47" t="s">
        <v>114</v>
      </c>
      <c r="C8" s="47" t="s">
        <v>115</v>
      </c>
      <c r="D8" s="48" t="n">
        <f aca="false">SUMIF('Rincian Task'!$B$3:$B$43,A8,'Rincian Task'!$E$3:$E$43)</f>
        <v>24</v>
      </c>
      <c r="E8" s="49" t="n">
        <v>3</v>
      </c>
    </row>
    <row r="9" customFormat="false" ht="23.85" hidden="false" customHeight="false" outlineLevel="0" collapsed="false">
      <c r="A9" s="47" t="s">
        <v>92</v>
      </c>
      <c r="B9" s="47" t="s">
        <v>116</v>
      </c>
      <c r="C9" s="47" t="s">
        <v>117</v>
      </c>
      <c r="D9" s="48" t="n">
        <f aca="false">SUMIF('Rincian Task'!$B$3:$B$43,A9,'Rincian Task'!$E$3:$E$43)</f>
        <v>6</v>
      </c>
      <c r="E9" s="49" t="n">
        <v>1</v>
      </c>
    </row>
    <row r="10" customFormat="false" ht="15" hidden="false" customHeight="false" outlineLevel="0" collapsed="false">
      <c r="A10" s="12" t="s">
        <v>118</v>
      </c>
      <c r="B10" s="12"/>
      <c r="C10" s="12"/>
      <c r="D10" s="14" t="n">
        <f aca="false">SUM(D5:D9)</f>
        <v>114</v>
      </c>
      <c r="E10" s="14" t="n">
        <f aca="false">SUM(E5:E9)</f>
        <v>13</v>
      </c>
    </row>
    <row r="12" customFormat="false" ht="42" hidden="false" customHeight="true" outlineLevel="0" collapsed="false">
      <c r="A12" s="46" t="s">
        <v>119</v>
      </c>
      <c r="B12" s="46"/>
      <c r="C12" s="46"/>
      <c r="D12" s="46"/>
      <c r="E12" s="46"/>
    </row>
  </sheetData>
  <mergeCells count="4">
    <mergeCell ref="A1:E1"/>
    <mergeCell ref="A2:E2"/>
    <mergeCell ref="A10:C10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2026-09-04T07:11:57Z</dcterms:created>
  <dc:creator>openpyxl</dc:creator>
  <dc:description/>
  <dc:language>en-US</dc:language>
  <cp:lastModifiedBy/>
  <dcterms:modified xsi:type="dcterms:W3CDTF">2026-09-04T07:11:57Z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