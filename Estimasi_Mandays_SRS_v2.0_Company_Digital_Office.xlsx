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" sheetId="1" state="visible" r:id="rId3"/>
    <sheet name="Rincian Modul" sheetId="2" state="visible" r:id="rId4"/>
    <sheet name="Rekap per Role" sheetId="3" state="visible" r:id="rId5"/>
    <sheet name="Timelin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<sst xmlns="http://schemas.openxmlformats.org/spreadsheetml/2006/main" count="293" uniqueCount="159">
  <si>
    <t xml:space="preserve">Estimasi Mandays Pengembangan -- SRS v2.0</t>
  </si>
  <si>
    <t xml:space="preserve">Company Digital Office System -- 22 Modul, 13 Role, 3 Portal (External Website, Client Portal, Internal Portal)</t>
  </si>
  <si>
    <t xml:space="preserve">PT RTN | Estimasi bila dikerjakan tim developer tanpa bantuan AI | Superseded: estimasi kontrak-payung sebelumnya (114 md) kini bagian dari Fase 1</t>
  </si>
  <si>
    <t xml:space="preserve">RINGKASAN ANGKA</t>
  </si>
  <si>
    <t xml:space="preserve">Total Estimasi Mandays (termasuk overhead PM)</t>
  </si>
  <si>
    <t xml:space="preserve">md</t>
  </si>
  <si>
    <t xml:space="preserve">Jumlah Task/Deliverable Teridentifikasi</t>
  </si>
  <si>
    <t xml:space="preserve">task</t>
  </si>
  <si>
    <t xml:space="preserve">Estimasi Durasi Kalender (tim inti ~9-10 orang, fase overlap wajar)</t>
  </si>
  <si>
    <t xml:space="preserve">8-9 bulan</t>
  </si>
  <si>
    <t xml:space="preserve">Estimasi Durasi Kalender (tanpa overlap, fase strict berurutan)</t>
  </si>
  <si>
    <t xml:space="preserve">minggu</t>
  </si>
  <si>
    <t xml:space="preserve">KOMPOSISI TIM REKOMENDASI</t>
  </si>
  <si>
    <t xml:space="preserve">Role</t>
  </si>
  <si>
    <t xml:space="preserve">Alokasi</t>
  </si>
  <si>
    <t xml:space="preserve">Total Mandays</t>
  </si>
  <si>
    <t xml:space="preserve">Catatan Peran</t>
  </si>
  <si>
    <t xml:space="preserve">Project Manager (Delivery)</t>
  </si>
  <si>
    <t xml:space="preserve">100% sepanjang proyek (~9 bulan)</t>
  </si>
  <si>
    <t xml:space="preserve">Koordinasi, status report mingguan, change request, komunikasi stakeholder</t>
  </si>
  <si>
    <t xml:space="preserve">Tech Lead / Senior Developer</t>
  </si>
  <si>
    <t xml:space="preserve">100% sepanjang proyek</t>
  </si>
  <si>
    <t xml:space="preserve">Arsitektur, modul Finance/Payroll, rekonsiliasi dgn sistem existing, review kode</t>
  </si>
  <si>
    <t xml:space="preserve">Backend Developer</t>
  </si>
  <si>
    <t xml:space="preserve">100%, terkonsentrasi di Fase 1</t>
  </si>
  <si>
    <t xml:space="preserve">Bisa merangkap Fullstack Developer di fase lain untuk efisiensi biaya</t>
  </si>
  <si>
    <t xml:space="preserve">Fullstack Developer (Livewire)</t>
  </si>
  <si>
    <t xml:space="preserve">2-3 orang x 100%</t>
  </si>
  <si>
    <t xml:space="preserve">Beban terbesar (170 md) -- modul UI/Livewire tersebar di semua fase</t>
  </si>
  <si>
    <t xml:space="preserve">Frontend/Web Developer</t>
  </si>
  <si>
    <t xml:space="preserve">Part-time/project-based (~1 bulan)</t>
  </si>
  <si>
    <t xml:space="preserve">Hanya intensif di Fase 4 (External Website)</t>
  </si>
  <si>
    <t xml:space="preserve">UI/UX Designer</t>
  </si>
  <si>
    <t xml:space="preserve">Part-time (~3 minggu, terutama Fase 0)</t>
  </si>
  <si>
    <t xml:space="preserve">Wireframe/mockup seluruh layar baru</t>
  </si>
  <si>
    <t xml:space="preserve">QA / Tester</t>
  </si>
  <si>
    <t xml:space="preserve">1-2 orang, penuh mulai Fase 5</t>
  </si>
  <si>
    <t xml:space="preserve">Disarankan terlibat sejak Fase 1 untuk smoke test incremental</t>
  </si>
  <si>
    <t xml:space="preserve">Business Analyst</t>
  </si>
  <si>
    <t xml:space="preserve">Part-time sepanjang proyek</t>
  </si>
  <si>
    <t xml:space="preserve">Padat di Fase 0 (requirement) &amp; Fase 6 (dokumentasi/training)</t>
  </si>
  <si>
    <t xml:space="preserve">DevOps / Infrastructure</t>
  </si>
  <si>
    <t xml:space="preserve">Part-time, terutama Fase 6</t>
  </si>
  <si>
    <t xml:space="preserve">Infrastruktur, CI/CD, deployment, monitoring</t>
  </si>
  <si>
    <t xml:space="preserve">TOTAL</t>
  </si>
  <si>
    <t xml:space="preserve">CATATAN &amp; ASUMSI PENTING</t>
  </si>
  <si>
    <t xml:space="preserve">• Estimasi ini SUPERSEDE estimasi sebelumnya (114 md, khusus modul kontrak payung/spesifik) -- scope SRS v2.0 jauh lebih besar (22 modul, 13 role, 3 portal) dan kini mencakup pekerjaan itu di dalam Fase 1.</t>
  </si>
  <si>
    <t xml:space="preserve">• 4 TEMUAN KRITIS dari analisa gap (lihat dok 'perbandingan-srs-v2-vs-sistem-existing') BELUM terjawab saat estimasi ini dibuat, dan mempengaruhi akurasi Fase 1 &amp; Fase 2: (1) role 'Project Controller' yang sudah dibangun vs 'Project Control' di SRS beda fungsi; (2) istilah kontrak spesifik/payung &amp; alur Release Order tidak muncul eksplisit di SRS; (3) kebutuhan e-signature bersertifikat (PSrE/Peruri) vs in-house yang sudah dibangun; (4) hierarki data Unit (existing) vs Client/Lokasi (SRS). Rekomendasi: konfirmasi dulu sebelum kontrak ditandatangani -- lihat baris bercatatan di sheet 'Rincian Modul'.</t>
  </si>
  <si>
    <t xml:space="preserve">• 1 manday = 1 orang bekerja 1 hari efektif (~7 jam), 5 hari kerja/minggu.</t>
  </si>
  <si>
    <t xml:space="preserve">• Overhead Project Management dihitung otomatis 10% dari total mandays teknis (baris terakhir di 'Rincian Modul').</t>
  </si>
  <si>
    <t xml:space="preserve">• Belum termasuk: lisensi/biaya hosting &amp; infrastruktur cloud (tergantung pilihan provider), kontinjensi perubahan scope di tengah jalan, dan tarif harian (isi sendiri di sheet 'Rekap per Role').</t>
  </si>
  <si>
    <t xml:space="preserve">• Modul yang sudah berjalan di sistem existing (Project Management, Purchasing &amp; Material Tracking, KPI &amp; Work Log, Auth dasar) diberi porsi mandays jauh lebih kecil karena tinggal penyesuaian, bukan dibangun dari nol.</t>
  </si>
  <si>
    <t xml:space="preserve">Rincian Modul &amp; Estimasi Mandays per Fase (SRS v2.0)</t>
  </si>
  <si>
    <t xml:space="preserve">No</t>
  </si>
  <si>
    <t xml:space="preserve">Fase</t>
  </si>
  <si>
    <t xml:space="preserve">Modul / Task</t>
  </si>
  <si>
    <t xml:space="preserve">Mandays</t>
  </si>
  <si>
    <t xml:space="preserve">Catatan</t>
  </si>
  <si>
    <t xml:space="preserve">Fase 0 - Analisa &amp; Desain</t>
  </si>
  <si>
    <t xml:space="preserve">Analisa proses bisnis &amp; functional spec 22 modul, 13 role, 3 portal</t>
  </si>
  <si>
    <t xml:space="preserve">Desain ERD lengkap (seluruh modul, termasuk integrasi dgn skema existing)</t>
  </si>
  <si>
    <t xml:space="preserve">Desain arsitektur 3 portal (shared authentication, isolasi data eksternal/internal)</t>
  </si>
  <si>
    <t xml:space="preserve">Wireframe/mockup: login, dashboard (min 7 role), external website, client portal, form BOQ/Penawaran, invoice, kasbon, admin user management</t>
  </si>
  <si>
    <t xml:space="preserve">Wajib dilampirkan di proposal vendor sesuai SRS bab 7.1</t>
  </si>
  <si>
    <t xml:space="preserve">Tech stack justification &amp; dokumen rencana proyek</t>
  </si>
  <si>
    <t xml:space="preserve">Review &amp; sign-off desain dengan stakeholder</t>
  </si>
  <si>
    <t xml:space="preserve">Fase 1 - Fondasi &amp; Divisi 2 (Service &amp; Maintenance)</t>
  </si>
  <si>
    <t xml:space="preserve">Role &amp; permission sesuai 13 role SRS (pemisahan Project Control vs Project Controller, Cost Control, Lead Technician, Admin, dll)</t>
  </si>
  <si>
    <t xml:space="preserve">Perlu klarifikasi dulu -- lihat temuan 3.1 di analisa gap</t>
  </si>
  <si>
    <t xml:space="preserve">Penyesuaian Authentication &amp; User Management (audit log login, bulk import CSV/Excel)</t>
  </si>
  <si>
    <t xml:space="preserve">Master Sparepart/Material terstruktur per Tipe Pompa + Engine + Serial Number</t>
  </si>
  <si>
    <t xml:space="preserve">Master Unit Pompa (Aset Klien): serial number, riwayat service, kondisi terakhir</t>
  </si>
  <si>
    <t xml:space="preserve">Penyesuaian Master Client &amp; Vendor (field tambahan)</t>
  </si>
  <si>
    <t xml:space="preserve">Rekonsiliasi hierarki data: Unit (existing) vs Client/Lokasi (SRS) + migrasi data</t>
  </si>
  <si>
    <t xml:space="preserve">Lihat temuan 3.4 di analisa gap</t>
  </si>
  <si>
    <t xml:space="preserve">Rekonsiliasi alur Kontrak Payung/RO/CustomerQuotation (existing) vs alur BOQ &amp; Penawaran / BAPP RO (SRS 5.1)</t>
  </si>
  <si>
    <t xml:space="preserve">Lihat temuan 3.2 -- keputusan arsitektur penting, sebaiknya dikonfirmasi dulu</t>
  </si>
  <si>
    <t xml:space="preserve">Penyesuaian Project Management: hierarki Region-&gt;Client/Lokasi-&gt;Kontrak-&gt;Proyek-&gt;Activity/Checkpoint, 5 tipe proyek</t>
  </si>
  <si>
    <t xml:space="preserve">Assignment &amp; Scheduling 2-tahap (Lead Technician usul, PM/Project Control approve), request safetyman/admin lokasi</t>
  </si>
  <si>
    <t xml:space="preserve">Operasional Lapangan &amp; Laporan Teknisi (Safety Talk/Toolbox log, jam kerja terstruktur, link Kasbon/Expense, Simlok/SIKA H-3)</t>
  </si>
  <si>
    <t xml:space="preserve">Document Management terstruktur (folder taxonomy, matriks akses, versioning, preview inline, bulk download zip)</t>
  </si>
  <si>
    <t xml:space="preserve">BOQ &amp; Penawaran Service &amp; Maintenance (filter item per tipe pompa/engine/SN, approval PM/Direktur)</t>
  </si>
  <si>
    <t xml:space="preserve">Berpotensi tumpang-tindih dgn modul existing -- lihat temuan 3.2</t>
  </si>
  <si>
    <t xml:space="preserve">Penyesuaian Purchasing &amp; Material Tracking (reminder H-7)</t>
  </si>
  <si>
    <t xml:space="preserve">Admin Operasional (Admin Kantor: rekap, BAPP, BAL; Admin Purchase: surat jalan, gatepass)</t>
  </si>
  <si>
    <t xml:space="preserve">Penyesuaian KPI &amp; Work Log</t>
  </si>
  <si>
    <t xml:space="preserve">Fase 2 - Keuangan &amp; SDM</t>
  </si>
  <si>
    <t xml:space="preserve">Finance &amp; Accounting: Entry Voucher, Cash &amp; Bank, General Ledger</t>
  </si>
  <si>
    <t xml:space="preserve">Modul paling kompleks di seluruh SRS</t>
  </si>
  <si>
    <t xml:space="preserve">Finance &amp; Accounting: Accounts Payable, Accounts Receivable, Asset Management</t>
  </si>
  <si>
    <t xml:space="preserve">Finance &amp; Accounting: Budgeting &amp; Forecasting, Reporting &amp; Analysis</t>
  </si>
  <si>
    <t xml:space="preserve">Invoice &amp; Billing (nomor otomatis, PDF, partial payment, aging)</t>
  </si>
  <si>
    <t xml:space="preserve">Kasbon/Cash Advance &amp; Expense (approval 2 tahap, settlement)</t>
  </si>
  <si>
    <t xml:space="preserve">Payroll (kalkulasi gaji, lembur, BPJS, PPh21, payslip, approval Direktur)</t>
  </si>
  <si>
    <t xml:space="preserve">Perlu validasi aturan BPJS/PPh21 final perusahaan sebelum development</t>
  </si>
  <si>
    <t xml:space="preserve">Cost Control (dashboard budget vs actual, alert threshold, tarik data lintas modul)</t>
  </si>
  <si>
    <t xml:space="preserve">Absensi/Attendance umum (check-in/out kantor, izin/cuti/sakit/alfa, integrasi payroll)</t>
  </si>
  <si>
    <t xml:space="preserve">Terpisah dari Presensi GPS lapangan yang sudah ada (lihat temuan 3.4-ish, SRS 4.20)</t>
  </si>
  <si>
    <t xml:space="preserve">Fase 3 - Divisi 1 (Sales &amp; Pengadaan Pompa Baru)</t>
  </si>
  <si>
    <t xml:space="preserve">CRM &amp; Sales Pipeline (leads, pipeline visual, log aktivitas, reminder, dashboard Marketing)</t>
  </si>
  <si>
    <t xml:space="preserve">Inventory Stok Pompa</t>
  </si>
  <si>
    <t xml:space="preserve">RFQ &amp; BOQ Penjualan</t>
  </si>
  <si>
    <t xml:space="preserve">Penawaran Harga &amp; Technical Data (approval, PDF, revisi)</t>
  </si>
  <si>
    <t xml:space="preserve">PO Masuk, BA Serah Terima, VDRL, Sales Order</t>
  </si>
  <si>
    <t xml:space="preserve">Fase 4 - External-Facing &amp; Cross-Cutting</t>
  </si>
  <si>
    <t xml:space="preserve">External Company Website (6 halaman, CMS, SEO, responsif)</t>
  </si>
  <si>
    <t xml:space="preserve">Client Portal (login, dashboard, progress real-time, dokumen, invoice read-only)</t>
  </si>
  <si>
    <t xml:space="preserve">SSO routing 3 portal (External/Client/Internal)</t>
  </si>
  <si>
    <t xml:space="preserve">Notification &amp; Audit Trail (in-app + email, audit trail immutable)</t>
  </si>
  <si>
    <t xml:space="preserve">Dashboard per Role (11 role tersisa: PM, Project Control, Cost Control, Finance, Lead Tech, Technician, Purchasing, Admin, Marketing, Sales Support, Client Portal)</t>
  </si>
  <si>
    <t xml:space="preserve">Fase 5 - QA &amp; Integrasi</t>
  </si>
  <si>
    <t xml:space="preserve">Penyusunan test case menyeluruh</t>
  </si>
  <si>
    <t xml:space="preserve">Functional testing seluruh modul (22 modul)</t>
  </si>
  <si>
    <t xml:space="preserve">Regression testing modul existing yang berubah</t>
  </si>
  <si>
    <t xml:space="preserve">Security testing (validasi upload, permission matrix, autentikasi)</t>
  </si>
  <si>
    <t xml:space="preserve">Integrasi lintas modul (Finance, Cost Control, Notification menarik data dari banyak modul)</t>
  </si>
  <si>
    <t xml:space="preserve">Bug fixing</t>
  </si>
  <si>
    <t xml:space="preserve">UAT bersama user (iteratif, lintas 2 divisi + Finance + Direktur)</t>
  </si>
  <si>
    <t xml:space="preserve">Perbaikan hasil UAT</t>
  </si>
  <si>
    <t xml:space="preserve">Fase 6 - Deployment &amp; Dokumentasi</t>
  </si>
  <si>
    <t xml:space="preserve">Setup infrastruktur production (server, HTTPS/TLS, backup harian, monitoring)</t>
  </si>
  <si>
    <t xml:space="preserve">CI/CD, staging environment, dokumentasi API (Swagger/OpenAPI)</t>
  </si>
  <si>
    <t xml:space="preserve">Migration rehearsal + rollback plan (termasuk data existing)</t>
  </si>
  <si>
    <t xml:space="preserve">Deployment ke production + monitoring pasca-rilis</t>
  </si>
  <si>
    <t xml:space="preserve">Dokumentasi teknis (architecture docs, ERD final, API docs)</t>
  </si>
  <si>
    <t xml:space="preserve">User manual untuk 13 role</t>
  </si>
  <si>
    <t xml:space="preserve">Panduan Administrator</t>
  </si>
  <si>
    <t xml:space="preserve">Training session untuk pengguna kunci</t>
  </si>
  <si>
    <t xml:space="preserve">Data migration plan (data existing ke skema baru)</t>
  </si>
  <si>
    <t xml:space="preserve">Lintas Fase (Overhead)</t>
  </si>
  <si>
    <t xml:space="preserve">Project Management &amp; koordinasi (sprint planning, status report, change request, koordinasi stakeholder)</t>
  </si>
  <si>
    <t xml:space="preserve">Dihitung otomatis: 10 persen dari total mandays teknis (baris 1-58)</t>
  </si>
  <si>
    <t xml:space="preserve">Rekap Mandays &amp; Estimasi Biaya per Role</t>
  </si>
  <si>
    <t xml:space="preserve">Isi kolom 'Tarif per Manday (Rp)' (sel kuning) sesuai standar rate internal perusahaan Anda.</t>
  </si>
  <si>
    <t xml:space="preserve">Tarif per Manday (Rp)</t>
  </si>
  <si>
    <t xml:space="preserve">Total Estimasi Biaya (Rp)</t>
  </si>
  <si>
    <t xml:space="preserve">Catatan: Total Mandays ditarik otomatis (SUMIF) dari sheet 'Rincian Modul', termasuk baris overhead Project Management. Tarif per manday TIDAK diisi otomatis -- sesuaikan dengan standar gaji/vendor rate perusahaan.</t>
  </si>
  <si>
    <t xml:space="preserve">Timeline Estimasi per Fase (SRS v2.0)</t>
  </si>
  <si>
    <t xml:space="preserve">Asumsi tim inti: 1 PM + 1 Tech Lead + 1 Backend Dev + 2-3 Fullstack Dev + 1 QA (+ Web Dev, UI/UX, BA, DevOps paruh waktu)</t>
  </si>
  <si>
    <t xml:space="preserve">Deskripsi Singkat</t>
  </si>
  <si>
    <t xml:space="preserve">Role Terlibat</t>
  </si>
  <si>
    <t xml:space="preserve">Mandays Fase</t>
  </si>
  <si>
    <t xml:space="preserve">Estimasi Durasi (minggu)</t>
  </si>
  <si>
    <t xml:space="preserve">Functional spec, ERD, arsitektur 3 portal, wireframe, sign-off</t>
  </si>
  <si>
    <t xml:space="preserve">BA, Tech Lead, UI/UX Designer</t>
  </si>
  <si>
    <t xml:space="preserve">Fondasi platform + rapikan Divisi 2 (Service &amp; Maintenance) sesuai SRS, termasuk rekonsiliasi dgn sistem existing</t>
  </si>
  <si>
    <t xml:space="preserve">Tech Lead, Backend Dev, Fullstack Dev</t>
  </si>
  <si>
    <t xml:space="preserve">Finance &amp; Accounting, Invoice, Kasbon/Expense, Payroll, Cost Control, Absensi umum</t>
  </si>
  <si>
    <t xml:space="preserve">Tech Lead, Fullstack Dev</t>
  </si>
  <si>
    <t xml:space="preserve">Divisi 1: CRM, Sales Pipeline, Inventory, BOQ Penjualan, Sales Order</t>
  </si>
  <si>
    <t xml:space="preserve">Fullstack Dev</t>
  </si>
  <si>
    <t xml:space="preserve">External Website, Client Portal, SSO 3 portal, Notification &amp; Audit Trail, Dashboard per role</t>
  </si>
  <si>
    <t xml:space="preserve">Web Dev, Fullstack Dev, Backend Dev, Tech Lead</t>
  </si>
  <si>
    <t xml:space="preserve">Test case, functional &amp; regression &amp; security testing, bug fixing, UAT</t>
  </si>
  <si>
    <t xml:space="preserve">QA, Backend Dev, Fullstack Dev</t>
  </si>
  <si>
    <t xml:space="preserve">Infrastruktur produksi, deployment, dokumentasi, training</t>
  </si>
  <si>
    <t xml:space="preserve">DevOps, Tech Lead, Business Analyst</t>
  </si>
  <si>
    <t xml:space="preserve">TOTAL (bila fase berurutan penuh, tanpa overlap)</t>
  </si>
  <si>
    <t xml:space="preserve">Catatan: total minggu di atas mengasumsikan fase berjalan strict berurutan (worst case), TIDAK termasuk mandays overhead Project Management (dihitung terpisah, lihat sheet Ringkasan). Dengan overlap wajar (mis. Fase 2 &amp; 3 bisa mulai sebagian begitu fondasi Fase 1 selesai, QA berjalan incremental bukan hanya di Fase 5), durasi realistis untuk tim ~9-10 orang adalah 8-9 bulan kalender.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</si>
</sst>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General"/>
    <numFmt numFmtId="167" formatCode="&quot;Rp&quot;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B91C1C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E5E7EB"/>
        <bgColor rgb="FFF3F4F6"/>
      </patternFill>
    </fill>
    <fill>
      <patternFill patternType="solid">
        <fgColor rgb="FF1F2937"/>
        <bgColor rgb="FF333300"/>
      </patternFill>
    </fill>
    <fill>
      <patternFill patternType="solid">
        <fgColor rgb="FFD1D5DB"/>
        <bgColor rgb="FFE5E7EB"/>
      </patternFill>
    </fill>
    <fill>
      <patternFill patternType="solid">
        <fgColor rgb="FFEFF6FF"/>
        <bgColor rgb="FFF3F4F6"/>
      </patternFill>
    </fill>
    <fill>
      <patternFill patternType="solid">
        <fgColor rgb="FFF0FDF4"/>
        <bgColor rgb="FFECFEFF"/>
      </patternFill>
    </fill>
    <fill>
      <patternFill patternType="solid">
        <fgColor rgb="FFFEFCE8"/>
        <bgColor rgb="FFFFF7ED"/>
      </patternFill>
    </fill>
    <fill>
      <patternFill patternType="solid">
        <fgColor rgb="FFFDF2F8"/>
        <bgColor rgb="FFF5F3FF"/>
      </patternFill>
    </fill>
    <fill>
      <patternFill patternType="solid">
        <fgColor rgb="FFF5F3FF"/>
        <bgColor rgb="FFF3F4F6"/>
      </patternFill>
    </fill>
    <fill>
      <patternFill patternType="solid">
        <fgColor rgb="FFFFF7ED"/>
        <bgColor rgb="FFFEFCE8"/>
      </patternFill>
    </fill>
    <fill>
      <patternFill patternType="solid">
        <fgColor rgb="FFECFEFF"/>
        <bgColor rgb="FFF0FDF4"/>
      </patternFill>
    </fill>
    <fill>
      <patternFill patternType="solid">
        <fgColor rgb="FFF3F4F6"/>
        <bgColor rgb="FFF5F3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3F4F6"/>
      <rgbColor rgb="FF808080"/>
      <rgbColor rgb="FF9999FF"/>
      <rgbColor rgb="FF993366"/>
      <rgbColor rgb="FFFEFCE8"/>
      <rgbColor rgb="FFECFE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DF4"/>
      <rgbColor rgb="FFE5E7EB"/>
      <rgbColor rgb="FFFFF7ED"/>
      <rgbColor rgb="FFEFF6FF"/>
      <rgbColor rgb="FFF5F3FF"/>
      <rgbColor rgb="FFCC99FF"/>
      <rgbColor rgb="FFFDF2F8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91C1C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4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3" customFormat="false" ht="15" hidden="false" customHeight="false" outlineLevel="0" collapsed="false">
      <c r="A3" s="2" t="s">
        <v>2</v>
      </c>
      <c r="B3" s="2"/>
      <c r="C3" s="2"/>
      <c r="D3" s="2"/>
    </row>
    <row r="5" customFormat="false" ht="15" hidden="false" customHeight="false" outlineLevel="0" collapsed="false">
      <c r="A5" s="3" t="s">
        <v>3</v>
      </c>
      <c r="B5" s="3"/>
      <c r="C5" s="3"/>
      <c r="D5" s="3"/>
    </row>
    <row r="6" customFormat="false" ht="15" hidden="false" customHeight="false" outlineLevel="0" collapsed="false">
      <c r="A6" s="4" t="s">
        <v>4</v>
      </c>
      <c r="B6" s="5" t="s">
        <v>5</v>
      </c>
      <c r="C6" s="6" t="n">
        <f aca="false">'Rekap per Role'!B14</f>
        <v>462</v>
      </c>
      <c r="D6" s="6"/>
    </row>
    <row r="7" customFormat="false" ht="15" hidden="false" customHeight="false" outlineLevel="0" collapsed="false">
      <c r="A7" s="4" t="s">
        <v>6</v>
      </c>
      <c r="B7" s="5" t="s">
        <v>7</v>
      </c>
      <c r="C7" s="7" t="n">
        <f aca="false">COUNTA('Rincian Modul'!A3:A61)</f>
        <v>59</v>
      </c>
      <c r="D7" s="7"/>
    </row>
    <row r="8" customFormat="false" ht="15" hidden="false" customHeight="false" outlineLevel="0" collapsed="false">
      <c r="A8" s="4" t="s">
        <v>8</v>
      </c>
      <c r="C8" s="8" t="s">
        <v>9</v>
      </c>
      <c r="D8" s="8"/>
    </row>
    <row r="9" customFormat="false" ht="15" hidden="false" customHeight="false" outlineLevel="0" collapsed="false">
      <c r="A9" s="4" t="s">
        <v>10</v>
      </c>
      <c r="B9" s="5" t="s">
        <v>11</v>
      </c>
      <c r="C9" s="6" t="n">
        <f aca="false">Timeline!E12</f>
        <v>28</v>
      </c>
      <c r="D9" s="6"/>
    </row>
    <row r="11" customFormat="false" ht="15" hidden="false" customHeight="false" outlineLevel="0" collapsed="false">
      <c r="A11" s="3" t="s">
        <v>12</v>
      </c>
      <c r="B11" s="3"/>
      <c r="C11" s="3"/>
      <c r="D11" s="3"/>
    </row>
    <row r="12" customFormat="false" ht="15" hidden="false" customHeight="false" outlineLevel="0" collapsed="false">
      <c r="A12" s="9" t="s">
        <v>13</v>
      </c>
      <c r="B12" s="9" t="s">
        <v>14</v>
      </c>
      <c r="C12" s="9" t="s">
        <v>15</v>
      </c>
      <c r="D12" s="9" t="s">
        <v>16</v>
      </c>
    </row>
    <row r="13" customFormat="false" ht="23.85" hidden="false" customHeight="false" outlineLevel="0" collapsed="false">
      <c r="A13" s="10" t="s">
        <v>17</v>
      </c>
      <c r="B13" s="10" t="s">
        <v>18</v>
      </c>
      <c r="C13" s="11" t="n">
        <f aca="false">SUMIF('Rincian Modul'!$D$3:$D$61,A13,'Rincian Modul'!$E$3:$E$61)</f>
        <v>42</v>
      </c>
      <c r="D13" s="10" t="s">
        <v>19</v>
      </c>
    </row>
    <row r="14" customFormat="false" ht="23.85" hidden="false" customHeight="false" outlineLevel="0" collapsed="false">
      <c r="A14" s="10" t="s">
        <v>20</v>
      </c>
      <c r="B14" s="10" t="s">
        <v>21</v>
      </c>
      <c r="C14" s="11" t="n">
        <f aca="false">SUMIF('Rincian Modul'!$D$3:$D$61,A14,'Rincian Modul'!$E$3:$E$61)</f>
        <v>109</v>
      </c>
      <c r="D14" s="10" t="s">
        <v>22</v>
      </c>
    </row>
    <row r="15" customFormat="false" ht="23.85" hidden="false" customHeight="false" outlineLevel="0" collapsed="false">
      <c r="A15" s="10" t="s">
        <v>23</v>
      </c>
      <c r="B15" s="10" t="s">
        <v>24</v>
      </c>
      <c r="C15" s="11" t="n">
        <f aca="false">SUMIF('Rincian Modul'!$D$3:$D$61,A15,'Rincian Modul'!$E$3:$E$61)</f>
        <v>36</v>
      </c>
      <c r="D15" s="10" t="s">
        <v>25</v>
      </c>
    </row>
    <row r="16" customFormat="false" ht="23.85" hidden="false" customHeight="false" outlineLevel="0" collapsed="false">
      <c r="A16" s="10" t="s">
        <v>26</v>
      </c>
      <c r="B16" s="10" t="s">
        <v>27</v>
      </c>
      <c r="C16" s="11" t="n">
        <f aca="false">SUMIF('Rincian Modul'!$D$3:$D$61,A16,'Rincian Modul'!$E$3:$E$61)</f>
        <v>170</v>
      </c>
      <c r="D16" s="10" t="s">
        <v>28</v>
      </c>
    </row>
    <row r="17" customFormat="false" ht="23.85" hidden="false" customHeight="false" outlineLevel="0" collapsed="false">
      <c r="A17" s="10" t="s">
        <v>29</v>
      </c>
      <c r="B17" s="10" t="s">
        <v>30</v>
      </c>
      <c r="C17" s="11" t="n">
        <f aca="false">SUMIF('Rincian Modul'!$D$3:$D$61,A17,'Rincian Modul'!$E$3:$E$61)</f>
        <v>18</v>
      </c>
      <c r="D17" s="10" t="s">
        <v>31</v>
      </c>
    </row>
    <row r="18" customFormat="false" ht="23.85" hidden="false" customHeight="false" outlineLevel="0" collapsed="false">
      <c r="A18" s="10" t="s">
        <v>32</v>
      </c>
      <c r="B18" s="10" t="s">
        <v>33</v>
      </c>
      <c r="C18" s="11" t="n">
        <f aca="false">SUMIF('Rincian Modul'!$D$3:$D$61,A18,'Rincian Modul'!$E$3:$E$61)</f>
        <v>15</v>
      </c>
      <c r="D18" s="10" t="s">
        <v>34</v>
      </c>
    </row>
    <row r="19" customFormat="false" ht="23.85" hidden="false" customHeight="false" outlineLevel="0" collapsed="false">
      <c r="A19" s="10" t="s">
        <v>35</v>
      </c>
      <c r="B19" s="10" t="s">
        <v>36</v>
      </c>
      <c r="C19" s="11" t="n">
        <f aca="false">SUMIF('Rincian Modul'!$D$3:$D$61,A19,'Rincian Modul'!$E$3:$E$61)</f>
        <v>38</v>
      </c>
      <c r="D19" s="10" t="s">
        <v>37</v>
      </c>
    </row>
    <row r="20" customFormat="false" ht="23.85" hidden="false" customHeight="false" outlineLevel="0" collapsed="false">
      <c r="A20" s="10" t="s">
        <v>38</v>
      </c>
      <c r="B20" s="10" t="s">
        <v>39</v>
      </c>
      <c r="C20" s="11" t="n">
        <f aca="false">SUMIF('Rincian Modul'!$D$3:$D$61,A20,'Rincian Modul'!$E$3:$E$61)</f>
        <v>22</v>
      </c>
      <c r="D20" s="10" t="s">
        <v>40</v>
      </c>
    </row>
    <row r="21" customFormat="false" ht="23.85" hidden="false" customHeight="false" outlineLevel="0" collapsed="false">
      <c r="A21" s="10" t="s">
        <v>41</v>
      </c>
      <c r="B21" s="10" t="s">
        <v>42</v>
      </c>
      <c r="C21" s="11" t="n">
        <f aca="false">SUMIF('Rincian Modul'!$D$3:$D$61,A21,'Rincian Modul'!$E$3:$E$61)</f>
        <v>12</v>
      </c>
      <c r="D21" s="10" t="s">
        <v>43</v>
      </c>
    </row>
    <row r="22" customFormat="false" ht="15" hidden="false" customHeight="false" outlineLevel="0" collapsed="false">
      <c r="A22" s="12" t="s">
        <v>44</v>
      </c>
      <c r="B22" s="13"/>
      <c r="C22" s="14" t="n">
        <f aca="false">SUM(C13:C21)</f>
        <v>462</v>
      </c>
      <c r="D22" s="13"/>
    </row>
    <row r="24" customFormat="false" ht="15" hidden="false" customHeight="false" outlineLevel="0" collapsed="false">
      <c r="A24" s="3" t="s">
        <v>45</v>
      </c>
      <c r="B24" s="3"/>
      <c r="C24" s="3"/>
      <c r="D24" s="3"/>
    </row>
    <row r="25" customFormat="false" ht="42" hidden="false" customHeight="true" outlineLevel="0" collapsed="false">
      <c r="A25" s="15" t="s">
        <v>46</v>
      </c>
      <c r="B25" s="15"/>
      <c r="C25" s="15"/>
      <c r="D25" s="15"/>
    </row>
    <row r="26" customFormat="false" ht="42" hidden="false" customHeight="true" outlineLevel="0" collapsed="false">
      <c r="A26" s="15" t="s">
        <v>47</v>
      </c>
      <c r="B26" s="15"/>
      <c r="C26" s="15"/>
      <c r="D26" s="15"/>
    </row>
    <row r="27" customFormat="false" ht="42" hidden="false" customHeight="true" outlineLevel="0" collapsed="false">
      <c r="A27" s="15" t="s">
        <v>48</v>
      </c>
      <c r="B27" s="15"/>
      <c r="C27" s="15"/>
      <c r="D27" s="15"/>
    </row>
    <row r="28" customFormat="false" ht="42" hidden="false" customHeight="true" outlineLevel="0" collapsed="false">
      <c r="A28" s="15" t="s">
        <v>49</v>
      </c>
      <c r="B28" s="15"/>
      <c r="C28" s="15"/>
      <c r="D28" s="15"/>
    </row>
    <row r="29" customFormat="false" ht="42" hidden="false" customHeight="true" outlineLevel="0" collapsed="false">
      <c r="A29" s="15" t="s">
        <v>50</v>
      </c>
      <c r="B29" s="15"/>
      <c r="C29" s="15"/>
      <c r="D29" s="15"/>
    </row>
    <row r="30" customFormat="false" ht="42" hidden="false" customHeight="true" outlineLevel="0" collapsed="false">
      <c r="A30" s="15" t="s">
        <v>51</v>
      </c>
      <c r="B30" s="15"/>
      <c r="C30" s="15"/>
      <c r="D30" s="15"/>
    </row>
  </sheetData>
  <mergeCells count="16">
    <mergeCell ref="A1:D1"/>
    <mergeCell ref="A2:D2"/>
    <mergeCell ref="A3:D3"/>
    <mergeCell ref="A5:D5"/>
    <mergeCell ref="C6:D6"/>
    <mergeCell ref="C7:D7"/>
    <mergeCell ref="C8:D8"/>
    <mergeCell ref="C9:D9"/>
    <mergeCell ref="A11:D11"/>
    <mergeCell ref="A24:D24"/>
    <mergeCell ref="A25:D25"/>
    <mergeCell ref="A26:D26"/>
    <mergeCell ref="A27:D27"/>
    <mergeCell ref="A28:D28"/>
    <mergeCell ref="A29:D29"/>
    <mergeCell ref="A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66"/>
    <col collapsed="false" customWidth="true" hidden="false" outlineLevel="0" max="4" min="4" style="0" width="24"/>
    <col collapsed="false" customWidth="true" hidden="false" outlineLevel="0" max="5" min="5" style="0" width="11"/>
    <col collapsed="false" customWidth="true" hidden="false" outlineLevel="0" max="6" min="6" style="0" width="50"/>
  </cols>
  <sheetData>
    <row r="1" customFormat="false" ht="19.7" hidden="false" customHeight="false" outlineLevel="0" collapsed="false">
      <c r="A1" s="1" t="s">
        <v>52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6" t="s">
        <v>53</v>
      </c>
      <c r="B2" s="16" t="s">
        <v>54</v>
      </c>
      <c r="C2" s="16" t="s">
        <v>55</v>
      </c>
      <c r="D2" s="16" t="s">
        <v>13</v>
      </c>
      <c r="E2" s="16" t="s">
        <v>56</v>
      </c>
      <c r="F2" s="16" t="s">
        <v>57</v>
      </c>
    </row>
    <row r="3" customFormat="false" ht="23.85" hidden="false" customHeight="false" outlineLevel="0" collapsed="false">
      <c r="A3" s="17" t="n">
        <v>1</v>
      </c>
      <c r="B3" s="18" t="s">
        <v>58</v>
      </c>
      <c r="C3" s="18" t="s">
        <v>59</v>
      </c>
      <c r="D3" s="18" t="s">
        <v>38</v>
      </c>
      <c r="E3" s="19" t="n">
        <v>10</v>
      </c>
      <c r="F3" s="20"/>
    </row>
    <row r="4" customFormat="false" ht="23.85" hidden="false" customHeight="false" outlineLevel="0" collapsed="false">
      <c r="A4" s="17" t="n">
        <v>2</v>
      </c>
      <c r="B4" s="18" t="s">
        <v>58</v>
      </c>
      <c r="C4" s="18" t="s">
        <v>60</v>
      </c>
      <c r="D4" s="18" t="s">
        <v>20</v>
      </c>
      <c r="E4" s="19" t="n">
        <v>8</v>
      </c>
      <c r="F4" s="20"/>
    </row>
    <row r="5" customFormat="false" ht="23.85" hidden="false" customHeight="false" outlineLevel="0" collapsed="false">
      <c r="A5" s="17" t="n">
        <v>3</v>
      </c>
      <c r="B5" s="18" t="s">
        <v>58</v>
      </c>
      <c r="C5" s="18" t="s">
        <v>61</v>
      </c>
      <c r="D5" s="18" t="s">
        <v>20</v>
      </c>
      <c r="E5" s="19" t="n">
        <v>6</v>
      </c>
      <c r="F5" s="20"/>
    </row>
    <row r="6" customFormat="false" ht="23.85" hidden="false" customHeight="false" outlineLevel="0" collapsed="false">
      <c r="A6" s="17" t="n">
        <v>4</v>
      </c>
      <c r="B6" s="18" t="s">
        <v>58</v>
      </c>
      <c r="C6" s="18" t="s">
        <v>62</v>
      </c>
      <c r="D6" s="18" t="s">
        <v>32</v>
      </c>
      <c r="E6" s="19" t="n">
        <v>15</v>
      </c>
      <c r="F6" s="21" t="s">
        <v>63</v>
      </c>
    </row>
    <row r="7" customFormat="false" ht="23.85" hidden="false" customHeight="false" outlineLevel="0" collapsed="false">
      <c r="A7" s="17" t="n">
        <v>5</v>
      </c>
      <c r="B7" s="18" t="s">
        <v>58</v>
      </c>
      <c r="C7" s="18" t="s">
        <v>64</v>
      </c>
      <c r="D7" s="18" t="s">
        <v>20</v>
      </c>
      <c r="E7" s="19" t="n">
        <v>2</v>
      </c>
      <c r="F7" s="20"/>
    </row>
    <row r="8" customFormat="false" ht="23.85" hidden="false" customHeight="false" outlineLevel="0" collapsed="false">
      <c r="A8" s="17" t="n">
        <v>6</v>
      </c>
      <c r="B8" s="18" t="s">
        <v>58</v>
      </c>
      <c r="C8" s="18" t="s">
        <v>65</v>
      </c>
      <c r="D8" s="18" t="s">
        <v>38</v>
      </c>
      <c r="E8" s="19" t="n">
        <v>1</v>
      </c>
      <c r="F8" s="20"/>
    </row>
    <row r="9" customFormat="false" ht="23.85" hidden="false" customHeight="false" outlineLevel="0" collapsed="false">
      <c r="A9" s="17" t="n">
        <v>7</v>
      </c>
      <c r="B9" s="18" t="s">
        <v>58</v>
      </c>
      <c r="C9" s="18" t="s">
        <v>65</v>
      </c>
      <c r="D9" s="18" t="s">
        <v>20</v>
      </c>
      <c r="E9" s="19" t="n">
        <v>1</v>
      </c>
      <c r="F9" s="20"/>
    </row>
    <row r="10" customFormat="false" ht="35.05" hidden="false" customHeight="false" outlineLevel="0" collapsed="false">
      <c r="A10" s="22" t="n">
        <v>8</v>
      </c>
      <c r="B10" s="23" t="s">
        <v>66</v>
      </c>
      <c r="C10" s="23" t="s">
        <v>67</v>
      </c>
      <c r="D10" s="23" t="s">
        <v>23</v>
      </c>
      <c r="E10" s="24" t="n">
        <v>4</v>
      </c>
      <c r="F10" s="25" t="s">
        <v>68</v>
      </c>
    </row>
    <row r="11" customFormat="false" ht="35.05" hidden="false" customHeight="false" outlineLevel="0" collapsed="false">
      <c r="A11" s="22" t="n">
        <v>9</v>
      </c>
      <c r="B11" s="23" t="s">
        <v>66</v>
      </c>
      <c r="C11" s="23" t="s">
        <v>69</v>
      </c>
      <c r="D11" s="23" t="s">
        <v>23</v>
      </c>
      <c r="E11" s="24" t="n">
        <v>6</v>
      </c>
      <c r="F11" s="26"/>
    </row>
    <row r="12" customFormat="false" ht="35.05" hidden="false" customHeight="false" outlineLevel="0" collapsed="false">
      <c r="A12" s="22" t="n">
        <v>10</v>
      </c>
      <c r="B12" s="23" t="s">
        <v>66</v>
      </c>
      <c r="C12" s="23" t="s">
        <v>70</v>
      </c>
      <c r="D12" s="23" t="s">
        <v>23</v>
      </c>
      <c r="E12" s="24" t="n">
        <v>5</v>
      </c>
      <c r="F12" s="26"/>
    </row>
    <row r="13" customFormat="false" ht="35.05" hidden="false" customHeight="false" outlineLevel="0" collapsed="false">
      <c r="A13" s="22" t="n">
        <v>11</v>
      </c>
      <c r="B13" s="23" t="s">
        <v>66</v>
      </c>
      <c r="C13" s="23" t="s">
        <v>71</v>
      </c>
      <c r="D13" s="23" t="s">
        <v>26</v>
      </c>
      <c r="E13" s="24" t="n">
        <v>6</v>
      </c>
      <c r="F13" s="26"/>
    </row>
    <row r="14" customFormat="false" ht="35.05" hidden="false" customHeight="false" outlineLevel="0" collapsed="false">
      <c r="A14" s="22" t="n">
        <v>12</v>
      </c>
      <c r="B14" s="23" t="s">
        <v>66</v>
      </c>
      <c r="C14" s="23" t="s">
        <v>72</v>
      </c>
      <c r="D14" s="23" t="s">
        <v>23</v>
      </c>
      <c r="E14" s="24" t="n">
        <v>3</v>
      </c>
      <c r="F14" s="26"/>
    </row>
    <row r="15" customFormat="false" ht="35.05" hidden="false" customHeight="false" outlineLevel="0" collapsed="false">
      <c r="A15" s="22" t="n">
        <v>13</v>
      </c>
      <c r="B15" s="23" t="s">
        <v>66</v>
      </c>
      <c r="C15" s="23" t="s">
        <v>73</v>
      </c>
      <c r="D15" s="23" t="s">
        <v>20</v>
      </c>
      <c r="E15" s="24" t="n">
        <v>5</v>
      </c>
      <c r="F15" s="25" t="s">
        <v>74</v>
      </c>
    </row>
    <row r="16" customFormat="false" ht="35.05" hidden="false" customHeight="false" outlineLevel="0" collapsed="false">
      <c r="A16" s="22" t="n">
        <v>14</v>
      </c>
      <c r="B16" s="23" t="s">
        <v>66</v>
      </c>
      <c r="C16" s="23" t="s">
        <v>75</v>
      </c>
      <c r="D16" s="23" t="s">
        <v>20</v>
      </c>
      <c r="E16" s="24" t="n">
        <v>5</v>
      </c>
      <c r="F16" s="25" t="s">
        <v>76</v>
      </c>
    </row>
    <row r="17" customFormat="false" ht="35.05" hidden="false" customHeight="false" outlineLevel="0" collapsed="false">
      <c r="A17" s="22" t="n">
        <v>15</v>
      </c>
      <c r="B17" s="23" t="s">
        <v>66</v>
      </c>
      <c r="C17" s="23" t="s">
        <v>77</v>
      </c>
      <c r="D17" s="23" t="s">
        <v>20</v>
      </c>
      <c r="E17" s="24" t="n">
        <v>8</v>
      </c>
      <c r="F17" s="26"/>
    </row>
    <row r="18" customFormat="false" ht="35.05" hidden="false" customHeight="false" outlineLevel="0" collapsed="false">
      <c r="A18" s="22" t="n">
        <v>16</v>
      </c>
      <c r="B18" s="23" t="s">
        <v>66</v>
      </c>
      <c r="C18" s="23" t="s">
        <v>78</v>
      </c>
      <c r="D18" s="23" t="s">
        <v>26</v>
      </c>
      <c r="E18" s="24" t="n">
        <v>8</v>
      </c>
      <c r="F18" s="26"/>
    </row>
    <row r="19" customFormat="false" ht="35.05" hidden="false" customHeight="false" outlineLevel="0" collapsed="false">
      <c r="A19" s="22" t="n">
        <v>17</v>
      </c>
      <c r="B19" s="23" t="s">
        <v>66</v>
      </c>
      <c r="C19" s="23" t="s">
        <v>79</v>
      </c>
      <c r="D19" s="23" t="s">
        <v>26</v>
      </c>
      <c r="E19" s="24" t="n">
        <v>10</v>
      </c>
      <c r="F19" s="26"/>
    </row>
    <row r="20" customFormat="false" ht="35.05" hidden="false" customHeight="false" outlineLevel="0" collapsed="false">
      <c r="A20" s="22" t="n">
        <v>18</v>
      </c>
      <c r="B20" s="23" t="s">
        <v>66</v>
      </c>
      <c r="C20" s="23" t="s">
        <v>80</v>
      </c>
      <c r="D20" s="23" t="s">
        <v>26</v>
      </c>
      <c r="E20" s="24" t="n">
        <v>14</v>
      </c>
      <c r="F20" s="26"/>
    </row>
    <row r="21" customFormat="false" ht="35.05" hidden="false" customHeight="false" outlineLevel="0" collapsed="false">
      <c r="A21" s="22" t="n">
        <v>19</v>
      </c>
      <c r="B21" s="23" t="s">
        <v>66</v>
      </c>
      <c r="C21" s="23" t="s">
        <v>81</v>
      </c>
      <c r="D21" s="23" t="s">
        <v>20</v>
      </c>
      <c r="E21" s="24" t="n">
        <v>10</v>
      </c>
      <c r="F21" s="25" t="s">
        <v>82</v>
      </c>
    </row>
    <row r="22" customFormat="false" ht="35.05" hidden="false" customHeight="false" outlineLevel="0" collapsed="false">
      <c r="A22" s="22" t="n">
        <v>20</v>
      </c>
      <c r="B22" s="23" t="s">
        <v>66</v>
      </c>
      <c r="C22" s="23" t="s">
        <v>83</v>
      </c>
      <c r="D22" s="23" t="s">
        <v>23</v>
      </c>
      <c r="E22" s="24" t="n">
        <v>4</v>
      </c>
      <c r="F22" s="26"/>
    </row>
    <row r="23" customFormat="false" ht="35.05" hidden="false" customHeight="false" outlineLevel="0" collapsed="false">
      <c r="A23" s="22" t="n">
        <v>21</v>
      </c>
      <c r="B23" s="23" t="s">
        <v>66</v>
      </c>
      <c r="C23" s="23" t="s">
        <v>84</v>
      </c>
      <c r="D23" s="23" t="s">
        <v>26</v>
      </c>
      <c r="E23" s="24" t="n">
        <v>10</v>
      </c>
      <c r="F23" s="26"/>
    </row>
    <row r="24" customFormat="false" ht="35.05" hidden="false" customHeight="false" outlineLevel="0" collapsed="false">
      <c r="A24" s="22" t="n">
        <v>22</v>
      </c>
      <c r="B24" s="23" t="s">
        <v>66</v>
      </c>
      <c r="C24" s="23" t="s">
        <v>85</v>
      </c>
      <c r="D24" s="23" t="s">
        <v>23</v>
      </c>
      <c r="E24" s="24" t="n">
        <v>3</v>
      </c>
      <c r="F24" s="26"/>
    </row>
    <row r="25" customFormat="false" ht="23.85" hidden="false" customHeight="false" outlineLevel="0" collapsed="false">
      <c r="A25" s="27" t="n">
        <v>23</v>
      </c>
      <c r="B25" s="28" t="s">
        <v>86</v>
      </c>
      <c r="C25" s="28" t="s">
        <v>87</v>
      </c>
      <c r="D25" s="28" t="s">
        <v>20</v>
      </c>
      <c r="E25" s="29" t="n">
        <v>12</v>
      </c>
      <c r="F25" s="30" t="s">
        <v>88</v>
      </c>
    </row>
    <row r="26" customFormat="false" ht="23.85" hidden="false" customHeight="false" outlineLevel="0" collapsed="false">
      <c r="A26" s="27" t="n">
        <v>24</v>
      </c>
      <c r="B26" s="28" t="s">
        <v>86</v>
      </c>
      <c r="C26" s="28" t="s">
        <v>89</v>
      </c>
      <c r="D26" s="28" t="s">
        <v>20</v>
      </c>
      <c r="E26" s="29" t="n">
        <v>8</v>
      </c>
      <c r="F26" s="31"/>
    </row>
    <row r="27" customFormat="false" ht="23.85" hidden="false" customHeight="false" outlineLevel="0" collapsed="false">
      <c r="A27" s="27" t="n">
        <v>25</v>
      </c>
      <c r="B27" s="28" t="s">
        <v>86</v>
      </c>
      <c r="C27" s="28" t="s">
        <v>90</v>
      </c>
      <c r="D27" s="28" t="s">
        <v>20</v>
      </c>
      <c r="E27" s="29" t="n">
        <v>5</v>
      </c>
      <c r="F27" s="31"/>
    </row>
    <row r="28" customFormat="false" ht="23.85" hidden="false" customHeight="false" outlineLevel="0" collapsed="false">
      <c r="A28" s="27" t="n">
        <v>26</v>
      </c>
      <c r="B28" s="28" t="s">
        <v>86</v>
      </c>
      <c r="C28" s="28" t="s">
        <v>91</v>
      </c>
      <c r="D28" s="28" t="s">
        <v>26</v>
      </c>
      <c r="E28" s="29" t="n">
        <v>8</v>
      </c>
      <c r="F28" s="31"/>
    </row>
    <row r="29" customFormat="false" ht="23.85" hidden="false" customHeight="false" outlineLevel="0" collapsed="false">
      <c r="A29" s="27" t="n">
        <v>27</v>
      </c>
      <c r="B29" s="28" t="s">
        <v>86</v>
      </c>
      <c r="C29" s="28" t="s">
        <v>92</v>
      </c>
      <c r="D29" s="28" t="s">
        <v>26</v>
      </c>
      <c r="E29" s="29" t="n">
        <v>8</v>
      </c>
      <c r="F29" s="31"/>
    </row>
    <row r="30" customFormat="false" ht="23.85" hidden="false" customHeight="false" outlineLevel="0" collapsed="false">
      <c r="A30" s="27" t="n">
        <v>28</v>
      </c>
      <c r="B30" s="28" t="s">
        <v>86</v>
      </c>
      <c r="C30" s="28" t="s">
        <v>93</v>
      </c>
      <c r="D30" s="28" t="s">
        <v>20</v>
      </c>
      <c r="E30" s="29" t="n">
        <v>12</v>
      </c>
      <c r="F30" s="30" t="s">
        <v>94</v>
      </c>
    </row>
    <row r="31" customFormat="false" ht="23.85" hidden="false" customHeight="false" outlineLevel="0" collapsed="false">
      <c r="A31" s="27" t="n">
        <v>29</v>
      </c>
      <c r="B31" s="28" t="s">
        <v>86</v>
      </c>
      <c r="C31" s="28" t="s">
        <v>95</v>
      </c>
      <c r="D31" s="28" t="s">
        <v>26</v>
      </c>
      <c r="E31" s="29" t="n">
        <v>8</v>
      </c>
      <c r="F31" s="31"/>
    </row>
    <row r="32" customFormat="false" ht="23.85" hidden="false" customHeight="false" outlineLevel="0" collapsed="false">
      <c r="A32" s="27" t="n">
        <v>30</v>
      </c>
      <c r="B32" s="28" t="s">
        <v>86</v>
      </c>
      <c r="C32" s="28" t="s">
        <v>96</v>
      </c>
      <c r="D32" s="28" t="s">
        <v>26</v>
      </c>
      <c r="E32" s="29" t="n">
        <v>8</v>
      </c>
      <c r="F32" s="30" t="s">
        <v>97</v>
      </c>
    </row>
    <row r="33" customFormat="false" ht="35.05" hidden="false" customHeight="false" outlineLevel="0" collapsed="false">
      <c r="A33" s="32" t="n">
        <v>31</v>
      </c>
      <c r="B33" s="33" t="s">
        <v>98</v>
      </c>
      <c r="C33" s="33" t="s">
        <v>99</v>
      </c>
      <c r="D33" s="33" t="s">
        <v>26</v>
      </c>
      <c r="E33" s="34" t="n">
        <v>12</v>
      </c>
      <c r="F33" s="35"/>
    </row>
    <row r="34" customFormat="false" ht="35.05" hidden="false" customHeight="false" outlineLevel="0" collapsed="false">
      <c r="A34" s="32" t="n">
        <v>32</v>
      </c>
      <c r="B34" s="33" t="s">
        <v>98</v>
      </c>
      <c r="C34" s="33" t="s">
        <v>100</v>
      </c>
      <c r="D34" s="33" t="s">
        <v>26</v>
      </c>
      <c r="E34" s="34" t="n">
        <v>4</v>
      </c>
      <c r="F34" s="35"/>
    </row>
    <row r="35" customFormat="false" ht="35.05" hidden="false" customHeight="false" outlineLevel="0" collapsed="false">
      <c r="A35" s="32" t="n">
        <v>33</v>
      </c>
      <c r="B35" s="33" t="s">
        <v>98</v>
      </c>
      <c r="C35" s="33" t="s">
        <v>101</v>
      </c>
      <c r="D35" s="33" t="s">
        <v>26</v>
      </c>
      <c r="E35" s="34" t="n">
        <v>6</v>
      </c>
      <c r="F35" s="35"/>
    </row>
    <row r="36" customFormat="false" ht="35.05" hidden="false" customHeight="false" outlineLevel="0" collapsed="false">
      <c r="A36" s="32" t="n">
        <v>34</v>
      </c>
      <c r="B36" s="33" t="s">
        <v>98</v>
      </c>
      <c r="C36" s="33" t="s">
        <v>102</v>
      </c>
      <c r="D36" s="33" t="s">
        <v>26</v>
      </c>
      <c r="E36" s="34" t="n">
        <v>8</v>
      </c>
      <c r="F36" s="35"/>
    </row>
    <row r="37" customFormat="false" ht="35.05" hidden="false" customHeight="false" outlineLevel="0" collapsed="false">
      <c r="A37" s="32" t="n">
        <v>35</v>
      </c>
      <c r="B37" s="33" t="s">
        <v>98</v>
      </c>
      <c r="C37" s="33" t="s">
        <v>103</v>
      </c>
      <c r="D37" s="33" t="s">
        <v>26</v>
      </c>
      <c r="E37" s="34" t="n">
        <v>10</v>
      </c>
      <c r="F37" s="35"/>
    </row>
    <row r="38" customFormat="false" ht="23.85" hidden="false" customHeight="false" outlineLevel="0" collapsed="false">
      <c r="A38" s="36" t="n">
        <v>36</v>
      </c>
      <c r="B38" s="37" t="s">
        <v>104</v>
      </c>
      <c r="C38" s="37" t="s">
        <v>105</v>
      </c>
      <c r="D38" s="37" t="s">
        <v>29</v>
      </c>
      <c r="E38" s="38" t="n">
        <v>18</v>
      </c>
      <c r="F38" s="39"/>
    </row>
    <row r="39" customFormat="false" ht="23.85" hidden="false" customHeight="false" outlineLevel="0" collapsed="false">
      <c r="A39" s="36" t="n">
        <v>37</v>
      </c>
      <c r="B39" s="37" t="s">
        <v>104</v>
      </c>
      <c r="C39" s="37" t="s">
        <v>106</v>
      </c>
      <c r="D39" s="37" t="s">
        <v>26</v>
      </c>
      <c r="E39" s="38" t="n">
        <v>14</v>
      </c>
      <c r="F39" s="39"/>
    </row>
    <row r="40" customFormat="false" ht="23.85" hidden="false" customHeight="false" outlineLevel="0" collapsed="false">
      <c r="A40" s="36" t="n">
        <v>38</v>
      </c>
      <c r="B40" s="37" t="s">
        <v>104</v>
      </c>
      <c r="C40" s="37" t="s">
        <v>107</v>
      </c>
      <c r="D40" s="37" t="s">
        <v>23</v>
      </c>
      <c r="E40" s="38" t="n">
        <v>3</v>
      </c>
      <c r="F40" s="39"/>
    </row>
    <row r="41" customFormat="false" ht="23.85" hidden="false" customHeight="false" outlineLevel="0" collapsed="false">
      <c r="A41" s="36" t="n">
        <v>39</v>
      </c>
      <c r="B41" s="37" t="s">
        <v>104</v>
      </c>
      <c r="C41" s="37" t="s">
        <v>108</v>
      </c>
      <c r="D41" s="37" t="s">
        <v>20</v>
      </c>
      <c r="E41" s="38" t="n">
        <v>10</v>
      </c>
      <c r="F41" s="39"/>
    </row>
    <row r="42" customFormat="false" ht="35.05" hidden="false" customHeight="false" outlineLevel="0" collapsed="false">
      <c r="A42" s="36" t="n">
        <v>40</v>
      </c>
      <c r="B42" s="37" t="s">
        <v>104</v>
      </c>
      <c r="C42" s="37" t="s">
        <v>109</v>
      </c>
      <c r="D42" s="37" t="s">
        <v>26</v>
      </c>
      <c r="E42" s="38" t="n">
        <v>16</v>
      </c>
      <c r="F42" s="39"/>
    </row>
    <row r="43" customFormat="false" ht="15" hidden="false" customHeight="false" outlineLevel="0" collapsed="false">
      <c r="A43" s="40" t="n">
        <v>41</v>
      </c>
      <c r="B43" s="41" t="s">
        <v>110</v>
      </c>
      <c r="C43" s="41" t="s">
        <v>111</v>
      </c>
      <c r="D43" s="41" t="s">
        <v>35</v>
      </c>
      <c r="E43" s="42" t="n">
        <v>8</v>
      </c>
      <c r="F43" s="43"/>
    </row>
    <row r="44" customFormat="false" ht="15" hidden="false" customHeight="false" outlineLevel="0" collapsed="false">
      <c r="A44" s="40" t="n">
        <v>42</v>
      </c>
      <c r="B44" s="41" t="s">
        <v>110</v>
      </c>
      <c r="C44" s="41" t="s">
        <v>112</v>
      </c>
      <c r="D44" s="41" t="s">
        <v>35</v>
      </c>
      <c r="E44" s="42" t="n">
        <v>20</v>
      </c>
      <c r="F44" s="43"/>
    </row>
    <row r="45" customFormat="false" ht="15" hidden="false" customHeight="false" outlineLevel="0" collapsed="false">
      <c r="A45" s="40" t="n">
        <v>43</v>
      </c>
      <c r="B45" s="41" t="s">
        <v>110</v>
      </c>
      <c r="C45" s="41" t="s">
        <v>113</v>
      </c>
      <c r="D45" s="41" t="s">
        <v>35</v>
      </c>
      <c r="E45" s="42" t="n">
        <v>5</v>
      </c>
      <c r="F45" s="43"/>
    </row>
    <row r="46" customFormat="false" ht="15" hidden="false" customHeight="false" outlineLevel="0" collapsed="false">
      <c r="A46" s="40" t="n">
        <v>44</v>
      </c>
      <c r="B46" s="41" t="s">
        <v>110</v>
      </c>
      <c r="C46" s="41" t="s">
        <v>114</v>
      </c>
      <c r="D46" s="41" t="s">
        <v>35</v>
      </c>
      <c r="E46" s="42" t="n">
        <v>5</v>
      </c>
      <c r="F46" s="43"/>
    </row>
    <row r="47" customFormat="false" ht="23.85" hidden="false" customHeight="false" outlineLevel="0" collapsed="false">
      <c r="A47" s="40" t="n">
        <v>45</v>
      </c>
      <c r="B47" s="41" t="s">
        <v>110</v>
      </c>
      <c r="C47" s="41" t="s">
        <v>115</v>
      </c>
      <c r="D47" s="41" t="s">
        <v>20</v>
      </c>
      <c r="E47" s="42" t="n">
        <v>8</v>
      </c>
      <c r="F47" s="43"/>
    </row>
    <row r="48" customFormat="false" ht="15" hidden="false" customHeight="false" outlineLevel="0" collapsed="false">
      <c r="A48" s="40" t="n">
        <v>46</v>
      </c>
      <c r="B48" s="41" t="s">
        <v>110</v>
      </c>
      <c r="C48" s="41" t="s">
        <v>116</v>
      </c>
      <c r="D48" s="41" t="s">
        <v>23</v>
      </c>
      <c r="E48" s="42" t="n">
        <v>8</v>
      </c>
      <c r="F48" s="43"/>
    </row>
    <row r="49" customFormat="false" ht="23.85" hidden="false" customHeight="false" outlineLevel="0" collapsed="false">
      <c r="A49" s="40" t="n">
        <v>47</v>
      </c>
      <c r="B49" s="41" t="s">
        <v>110</v>
      </c>
      <c r="C49" s="41" t="s">
        <v>116</v>
      </c>
      <c r="D49" s="41" t="s">
        <v>26</v>
      </c>
      <c r="E49" s="42" t="n">
        <v>8</v>
      </c>
      <c r="F49" s="43"/>
    </row>
    <row r="50" customFormat="false" ht="23.85" hidden="false" customHeight="false" outlineLevel="0" collapsed="false">
      <c r="A50" s="40" t="n">
        <v>48</v>
      </c>
      <c r="B50" s="41" t="s">
        <v>110</v>
      </c>
      <c r="C50" s="41" t="s">
        <v>117</v>
      </c>
      <c r="D50" s="41" t="s">
        <v>26</v>
      </c>
      <c r="E50" s="42" t="n">
        <v>6</v>
      </c>
      <c r="F50" s="43"/>
    </row>
    <row r="51" customFormat="false" ht="23.85" hidden="false" customHeight="false" outlineLevel="0" collapsed="false">
      <c r="A51" s="40" t="n">
        <v>49</v>
      </c>
      <c r="B51" s="41" t="s">
        <v>110</v>
      </c>
      <c r="C51" s="41" t="s">
        <v>118</v>
      </c>
      <c r="D51" s="41" t="s">
        <v>26</v>
      </c>
      <c r="E51" s="42" t="n">
        <v>6</v>
      </c>
      <c r="F51" s="43"/>
    </row>
    <row r="52" customFormat="false" ht="23.85" hidden="false" customHeight="false" outlineLevel="0" collapsed="false">
      <c r="A52" s="44" t="n">
        <v>50</v>
      </c>
      <c r="B52" s="45" t="s">
        <v>119</v>
      </c>
      <c r="C52" s="45" t="s">
        <v>120</v>
      </c>
      <c r="D52" s="45" t="s">
        <v>41</v>
      </c>
      <c r="E52" s="46" t="n">
        <v>5</v>
      </c>
      <c r="F52" s="47"/>
    </row>
    <row r="53" customFormat="false" ht="23.85" hidden="false" customHeight="false" outlineLevel="0" collapsed="false">
      <c r="A53" s="44" t="n">
        <v>51</v>
      </c>
      <c r="B53" s="45" t="s">
        <v>119</v>
      </c>
      <c r="C53" s="45" t="s">
        <v>121</v>
      </c>
      <c r="D53" s="45" t="s">
        <v>41</v>
      </c>
      <c r="E53" s="46" t="n">
        <v>5</v>
      </c>
      <c r="F53" s="47"/>
    </row>
    <row r="54" customFormat="false" ht="23.85" hidden="false" customHeight="false" outlineLevel="0" collapsed="false">
      <c r="A54" s="44" t="n">
        <v>52</v>
      </c>
      <c r="B54" s="45" t="s">
        <v>119</v>
      </c>
      <c r="C54" s="45" t="s">
        <v>122</v>
      </c>
      <c r="D54" s="45" t="s">
        <v>20</v>
      </c>
      <c r="E54" s="46" t="n">
        <v>3</v>
      </c>
      <c r="F54" s="47"/>
    </row>
    <row r="55" customFormat="false" ht="23.85" hidden="false" customHeight="false" outlineLevel="0" collapsed="false">
      <c r="A55" s="44" t="n">
        <v>53</v>
      </c>
      <c r="B55" s="45" t="s">
        <v>119</v>
      </c>
      <c r="C55" s="45" t="s">
        <v>123</v>
      </c>
      <c r="D55" s="45" t="s">
        <v>41</v>
      </c>
      <c r="E55" s="46" t="n">
        <v>2</v>
      </c>
      <c r="F55" s="47"/>
    </row>
    <row r="56" customFormat="false" ht="23.85" hidden="false" customHeight="false" outlineLevel="0" collapsed="false">
      <c r="A56" s="44" t="n">
        <v>54</v>
      </c>
      <c r="B56" s="45" t="s">
        <v>119</v>
      </c>
      <c r="C56" s="45" t="s">
        <v>124</v>
      </c>
      <c r="D56" s="45" t="s">
        <v>20</v>
      </c>
      <c r="E56" s="46" t="n">
        <v>3</v>
      </c>
      <c r="F56" s="47"/>
    </row>
    <row r="57" customFormat="false" ht="23.85" hidden="false" customHeight="false" outlineLevel="0" collapsed="false">
      <c r="A57" s="44" t="n">
        <v>55</v>
      </c>
      <c r="B57" s="45" t="s">
        <v>119</v>
      </c>
      <c r="C57" s="45" t="s">
        <v>125</v>
      </c>
      <c r="D57" s="45" t="s">
        <v>38</v>
      </c>
      <c r="E57" s="46" t="n">
        <v>6</v>
      </c>
      <c r="F57" s="47"/>
    </row>
    <row r="58" customFormat="false" ht="23.85" hidden="false" customHeight="false" outlineLevel="0" collapsed="false">
      <c r="A58" s="44" t="n">
        <v>56</v>
      </c>
      <c r="B58" s="45" t="s">
        <v>119</v>
      </c>
      <c r="C58" s="45" t="s">
        <v>126</v>
      </c>
      <c r="D58" s="45" t="s">
        <v>38</v>
      </c>
      <c r="E58" s="46" t="n">
        <v>2</v>
      </c>
      <c r="F58" s="47"/>
    </row>
    <row r="59" customFormat="false" ht="23.85" hidden="false" customHeight="false" outlineLevel="0" collapsed="false">
      <c r="A59" s="44" t="n">
        <v>57</v>
      </c>
      <c r="B59" s="45" t="s">
        <v>119</v>
      </c>
      <c r="C59" s="45" t="s">
        <v>127</v>
      </c>
      <c r="D59" s="45" t="s">
        <v>38</v>
      </c>
      <c r="E59" s="46" t="n">
        <v>3</v>
      </c>
      <c r="F59" s="47"/>
    </row>
    <row r="60" customFormat="false" ht="23.85" hidden="false" customHeight="false" outlineLevel="0" collapsed="false">
      <c r="A60" s="44" t="n">
        <v>58</v>
      </c>
      <c r="B60" s="45" t="s">
        <v>119</v>
      </c>
      <c r="C60" s="45" t="s">
        <v>128</v>
      </c>
      <c r="D60" s="45" t="s">
        <v>20</v>
      </c>
      <c r="E60" s="46" t="n">
        <v>3</v>
      </c>
      <c r="F60" s="47"/>
    </row>
    <row r="61" customFormat="false" ht="23.85" hidden="false" customHeight="false" outlineLevel="0" collapsed="false">
      <c r="A61" s="48" t="n">
        <v>59</v>
      </c>
      <c r="B61" s="49" t="s">
        <v>129</v>
      </c>
      <c r="C61" s="49" t="s">
        <v>130</v>
      </c>
      <c r="D61" s="49" t="s">
        <v>17</v>
      </c>
      <c r="E61" s="50" t="n">
        <f aca="false">ROUND(SUM(E3:E60)*0.1,0)</f>
        <v>42</v>
      </c>
      <c r="F61" s="51" t="s">
        <v>131</v>
      </c>
    </row>
    <row r="62" customFormat="false" ht="15" hidden="false" customHeight="false" outlineLevel="0" collapsed="false">
      <c r="A62" s="52"/>
      <c r="B62" s="52"/>
      <c r="C62" s="53" t="s">
        <v>44</v>
      </c>
      <c r="D62" s="52"/>
      <c r="E62" s="54" t="n">
        <f aca="false">SUM(E3:E61)</f>
        <v>462</v>
      </c>
      <c r="F62" s="52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4" min="3" style="0" width="22"/>
  </cols>
  <sheetData>
    <row r="1" customFormat="false" ht="19.7" hidden="false" customHeight="false" outlineLevel="0" collapsed="false">
      <c r="A1" s="1" t="s">
        <v>132</v>
      </c>
      <c r="B1" s="1"/>
      <c r="C1" s="1"/>
      <c r="D1" s="1"/>
    </row>
    <row r="2" customFormat="false" ht="15" hidden="false" customHeight="false" outlineLevel="0" collapsed="false">
      <c r="A2" s="2" t="s">
        <v>133</v>
      </c>
      <c r="B2" s="2"/>
      <c r="C2" s="2"/>
      <c r="D2" s="2"/>
    </row>
    <row r="4" customFormat="false" ht="23.85" hidden="false" customHeight="false" outlineLevel="0" collapsed="false">
      <c r="A4" s="55" t="s">
        <v>13</v>
      </c>
      <c r="B4" s="55" t="s">
        <v>15</v>
      </c>
      <c r="C4" s="55" t="s">
        <v>134</v>
      </c>
      <c r="D4" s="55" t="s">
        <v>135</v>
      </c>
    </row>
    <row r="5" customFormat="false" ht="15" hidden="false" customHeight="false" outlineLevel="0" collapsed="false">
      <c r="A5" s="56" t="s">
        <v>17</v>
      </c>
      <c r="B5" s="57" t="n">
        <f aca="false">SUMIF('Rincian Modul'!$D$3:$D$61,A5,'Rincian Modul'!$E$3:$E$61)</f>
        <v>42</v>
      </c>
      <c r="C5" s="58" t="n">
        <v>0</v>
      </c>
      <c r="D5" s="59" t="n">
        <f aca="false">B5*C5</f>
        <v>0</v>
      </c>
    </row>
    <row r="6" customFormat="false" ht="15" hidden="false" customHeight="false" outlineLevel="0" collapsed="false">
      <c r="A6" s="56" t="s">
        <v>20</v>
      </c>
      <c r="B6" s="57" t="n">
        <f aca="false">SUMIF('Rincian Modul'!$D$3:$D$61,A6,'Rincian Modul'!$E$3:$E$61)</f>
        <v>109</v>
      </c>
      <c r="C6" s="58" t="n">
        <v>0</v>
      </c>
      <c r="D6" s="59" t="n">
        <f aca="false">B6*C6</f>
        <v>0</v>
      </c>
    </row>
    <row r="7" customFormat="false" ht="15" hidden="false" customHeight="false" outlineLevel="0" collapsed="false">
      <c r="A7" s="56" t="s">
        <v>23</v>
      </c>
      <c r="B7" s="57" t="n">
        <f aca="false">SUMIF('Rincian Modul'!$D$3:$D$61,A7,'Rincian Modul'!$E$3:$E$61)</f>
        <v>36</v>
      </c>
      <c r="C7" s="58" t="n">
        <v>0</v>
      </c>
      <c r="D7" s="59" t="n">
        <f aca="false">B7*C7</f>
        <v>0</v>
      </c>
    </row>
    <row r="8" customFormat="false" ht="15" hidden="false" customHeight="false" outlineLevel="0" collapsed="false">
      <c r="A8" s="56" t="s">
        <v>26</v>
      </c>
      <c r="B8" s="57" t="n">
        <f aca="false">SUMIF('Rincian Modul'!$D$3:$D$61,A8,'Rincian Modul'!$E$3:$E$61)</f>
        <v>170</v>
      </c>
      <c r="C8" s="58" t="n">
        <v>0</v>
      </c>
      <c r="D8" s="59" t="n">
        <f aca="false">B8*C8</f>
        <v>0</v>
      </c>
    </row>
    <row r="9" customFormat="false" ht="15" hidden="false" customHeight="false" outlineLevel="0" collapsed="false">
      <c r="A9" s="56" t="s">
        <v>29</v>
      </c>
      <c r="B9" s="57" t="n">
        <f aca="false">SUMIF('Rincian Modul'!$D$3:$D$61,A9,'Rincian Modul'!$E$3:$E$61)</f>
        <v>18</v>
      </c>
      <c r="C9" s="58" t="n">
        <v>0</v>
      </c>
      <c r="D9" s="59" t="n">
        <f aca="false">B9*C9</f>
        <v>0</v>
      </c>
    </row>
    <row r="10" customFormat="false" ht="15" hidden="false" customHeight="false" outlineLevel="0" collapsed="false">
      <c r="A10" s="56" t="s">
        <v>32</v>
      </c>
      <c r="B10" s="57" t="n">
        <f aca="false">SUMIF('Rincian Modul'!$D$3:$D$61,A10,'Rincian Modul'!$E$3:$E$61)</f>
        <v>15</v>
      </c>
      <c r="C10" s="58" t="n">
        <v>0</v>
      </c>
      <c r="D10" s="59" t="n">
        <f aca="false">B10*C10</f>
        <v>0</v>
      </c>
    </row>
    <row r="11" customFormat="false" ht="15" hidden="false" customHeight="false" outlineLevel="0" collapsed="false">
      <c r="A11" s="56" t="s">
        <v>35</v>
      </c>
      <c r="B11" s="57" t="n">
        <f aca="false">SUMIF('Rincian Modul'!$D$3:$D$61,A11,'Rincian Modul'!$E$3:$E$61)</f>
        <v>38</v>
      </c>
      <c r="C11" s="58" t="n">
        <v>0</v>
      </c>
      <c r="D11" s="59" t="n">
        <f aca="false">B11*C11</f>
        <v>0</v>
      </c>
    </row>
    <row r="12" customFormat="false" ht="15" hidden="false" customHeight="false" outlineLevel="0" collapsed="false">
      <c r="A12" s="56" t="s">
        <v>38</v>
      </c>
      <c r="B12" s="57" t="n">
        <f aca="false">SUMIF('Rincian Modul'!$D$3:$D$61,A12,'Rincian Modul'!$E$3:$E$61)</f>
        <v>22</v>
      </c>
      <c r="C12" s="58" t="n">
        <v>0</v>
      </c>
      <c r="D12" s="59" t="n">
        <f aca="false">B12*C12</f>
        <v>0</v>
      </c>
    </row>
    <row r="13" customFormat="false" ht="15" hidden="false" customHeight="false" outlineLevel="0" collapsed="false">
      <c r="A13" s="56" t="s">
        <v>41</v>
      </c>
      <c r="B13" s="57" t="n">
        <f aca="false">SUMIF('Rincian Modul'!$D$3:$D$61,A13,'Rincian Modul'!$E$3:$E$61)</f>
        <v>12</v>
      </c>
      <c r="C13" s="58" t="n">
        <v>0</v>
      </c>
      <c r="D13" s="59" t="n">
        <f aca="false">B13*C13</f>
        <v>0</v>
      </c>
    </row>
    <row r="14" customFormat="false" ht="15" hidden="false" customHeight="false" outlineLevel="0" collapsed="false">
      <c r="A14" s="12" t="s">
        <v>44</v>
      </c>
      <c r="B14" s="14" t="n">
        <f aca="false">SUM(B5:B13)</f>
        <v>462</v>
      </c>
      <c r="C14" s="13"/>
      <c r="D14" s="60" t="n">
        <f aca="false">SUM(D5:D13)</f>
        <v>0</v>
      </c>
    </row>
    <row r="16" customFormat="false" ht="27.75" hidden="false" customHeight="true" outlineLevel="0" collapsed="false">
      <c r="A16" s="61" t="s">
        <v>136</v>
      </c>
      <c r="B16" s="61"/>
      <c r="C16" s="61"/>
      <c r="D16" s="61"/>
    </row>
  </sheetData>
  <mergeCells count="3">
    <mergeCell ref="A1:D1"/>
    <mergeCell ref="A2:D2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8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20"/>
  </cols>
  <sheetData>
    <row r="1" customFormat="false" ht="19.7" hidden="false" customHeight="false" outlineLevel="0" collapsed="false">
      <c r="A1" s="1" t="s">
        <v>137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138</v>
      </c>
      <c r="B2" s="2"/>
      <c r="C2" s="2"/>
      <c r="D2" s="2"/>
      <c r="E2" s="2"/>
    </row>
    <row r="4" customFormat="false" ht="23.85" hidden="false" customHeight="false" outlineLevel="0" collapsed="false">
      <c r="A4" s="55" t="s">
        <v>54</v>
      </c>
      <c r="B4" s="55" t="s">
        <v>139</v>
      </c>
      <c r="C4" s="55" t="s">
        <v>140</v>
      </c>
      <c r="D4" s="55" t="s">
        <v>141</v>
      </c>
      <c r="E4" s="55" t="s">
        <v>142</v>
      </c>
    </row>
    <row r="5" customFormat="false" ht="23.85" hidden="false" customHeight="false" outlineLevel="0" collapsed="false">
      <c r="A5" s="62" t="s">
        <v>58</v>
      </c>
      <c r="B5" s="62" t="s">
        <v>143</v>
      </c>
      <c r="C5" s="62" t="s">
        <v>144</v>
      </c>
      <c r="D5" s="63" t="n">
        <f aca="false">SUMIF('Rincian Modul'!$B$3:$B$61,A5,'Rincian Modul'!$E$3:$E$61)</f>
        <v>43</v>
      </c>
      <c r="E5" s="64" t="n">
        <v>3</v>
      </c>
    </row>
    <row r="6" customFormat="false" ht="35.05" hidden="false" customHeight="false" outlineLevel="0" collapsed="false">
      <c r="A6" s="62" t="s">
        <v>66</v>
      </c>
      <c r="B6" s="62" t="s">
        <v>145</v>
      </c>
      <c r="C6" s="62" t="s">
        <v>146</v>
      </c>
      <c r="D6" s="63" t="n">
        <f aca="false">SUMIF('Rincian Modul'!$B$3:$B$61,A6,'Rincian Modul'!$E$3:$E$61)</f>
        <v>101</v>
      </c>
      <c r="E6" s="64" t="n">
        <v>5</v>
      </c>
    </row>
    <row r="7" customFormat="false" ht="23.85" hidden="false" customHeight="false" outlineLevel="0" collapsed="false">
      <c r="A7" s="62" t="s">
        <v>86</v>
      </c>
      <c r="B7" s="62" t="s">
        <v>147</v>
      </c>
      <c r="C7" s="62" t="s">
        <v>148</v>
      </c>
      <c r="D7" s="63" t="n">
        <f aca="false">SUMIF('Rincian Modul'!$B$3:$B$61,A7,'Rincian Modul'!$E$3:$E$61)</f>
        <v>69</v>
      </c>
      <c r="E7" s="64" t="n">
        <v>4</v>
      </c>
    </row>
    <row r="8" customFormat="false" ht="23.85" hidden="false" customHeight="false" outlineLevel="0" collapsed="false">
      <c r="A8" s="62" t="s">
        <v>98</v>
      </c>
      <c r="B8" s="62" t="s">
        <v>149</v>
      </c>
      <c r="C8" s="62" t="s">
        <v>150</v>
      </c>
      <c r="D8" s="63" t="n">
        <f aca="false">SUMIF('Rincian Modul'!$B$3:$B$61,A8,'Rincian Modul'!$E$3:$E$61)</f>
        <v>40</v>
      </c>
      <c r="E8" s="64" t="n">
        <v>4</v>
      </c>
    </row>
    <row r="9" customFormat="false" ht="23.85" hidden="false" customHeight="false" outlineLevel="0" collapsed="false">
      <c r="A9" s="62" t="s">
        <v>104</v>
      </c>
      <c r="B9" s="62" t="s">
        <v>151</v>
      </c>
      <c r="C9" s="62" t="s">
        <v>152</v>
      </c>
      <c r="D9" s="63" t="n">
        <f aca="false">SUMIF('Rincian Modul'!$B$3:$B$61,A9,'Rincian Modul'!$E$3:$E$61)</f>
        <v>61</v>
      </c>
      <c r="E9" s="64" t="n">
        <v>4</v>
      </c>
    </row>
    <row r="10" customFormat="false" ht="23.85" hidden="false" customHeight="false" outlineLevel="0" collapsed="false">
      <c r="A10" s="62" t="s">
        <v>110</v>
      </c>
      <c r="B10" s="62" t="s">
        <v>153</v>
      </c>
      <c r="C10" s="62" t="s">
        <v>154</v>
      </c>
      <c r="D10" s="63" t="n">
        <f aca="false">SUMIF('Rincian Modul'!$B$3:$B$61,A10,'Rincian Modul'!$E$3:$E$61)</f>
        <v>74</v>
      </c>
      <c r="E10" s="64" t="n">
        <v>5</v>
      </c>
    </row>
    <row r="11" customFormat="false" ht="15" hidden="false" customHeight="false" outlineLevel="0" collapsed="false">
      <c r="A11" s="62" t="s">
        <v>119</v>
      </c>
      <c r="B11" s="62" t="s">
        <v>155</v>
      </c>
      <c r="C11" s="62" t="s">
        <v>156</v>
      </c>
      <c r="D11" s="63" t="n">
        <f aca="false">SUMIF('Rincian Modul'!$B$3:$B$61,A11,'Rincian Modul'!$E$3:$E$61)</f>
        <v>32</v>
      </c>
      <c r="E11" s="64" t="n">
        <v>3</v>
      </c>
    </row>
    <row r="12" customFormat="false" ht="15" hidden="false" customHeight="false" outlineLevel="0" collapsed="false">
      <c r="A12" s="12" t="s">
        <v>157</v>
      </c>
      <c r="B12" s="12"/>
      <c r="C12" s="12"/>
      <c r="D12" s="14" t="n">
        <f aca="false">SUM(D5:D11)</f>
        <v>420</v>
      </c>
      <c r="E12" s="14" t="n">
        <f aca="false">SUM(E5:E11)</f>
        <v>28</v>
      </c>
    </row>
    <row r="14" customFormat="false" ht="55.5" hidden="false" customHeight="true" outlineLevel="0" collapsed="false">
      <c r="A14" s="61" t="s">
        <v>158</v>
      </c>
      <c r="B14" s="61"/>
      <c r="C14" s="61"/>
      <c r="D14" s="61"/>
      <c r="E14" s="61"/>
    </row>
  </sheetData>
  <mergeCells count="4">
    <mergeCell ref="A1:E1"/>
    <mergeCell ref="A2:E2"/>
    <mergeCell ref="A12:C12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2026-10-05T03:13:42Z</dcterms:created>
  <dc:creator>openpyxl</dc:creator>
  <dc:description/>
  <dc:language>en-US</dc:language>
  <cp:lastModifiedBy/>
  <dcterms:modified xsi:type="dcterms:W3CDTF">2026-10-05T03:13:42Z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